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ysis" sheetId="1" r:id="rId5"/>
    <sheet state="visible" name="Cohort Analysis" sheetId="2" r:id="rId6"/>
    <sheet state="visible" name="Cohort #3" sheetId="3" r:id="rId7"/>
    <sheet state="visible" name="Annual Performance Table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<sst xmlns="http://schemas.openxmlformats.org/spreadsheetml/2006/main" count="161" uniqueCount="56">
  <si>
    <t>Decile</t>
  </si>
  <si>
    <t># Customers</t>
  </si>
  <si>
    <t># Transactions</t>
  </si>
  <si>
    <t># Revenue</t>
  </si>
  <si>
    <t># Profit</t>
  </si>
  <si>
    <t>% Customers</t>
  </si>
  <si>
    <t>% Total Transactions</t>
  </si>
  <si>
    <t>% Revenue</t>
  </si>
  <si>
    <t>% Profit</t>
  </si>
  <si>
    <t>Avg spend/cust</t>
  </si>
  <si>
    <t>Avg profit/cust</t>
  </si>
  <si>
    <t>AOF</t>
  </si>
  <si>
    <t>AOV</t>
  </si>
  <si>
    <t>% Avg margin</t>
  </si>
  <si>
    <t>Total</t>
  </si>
  <si>
    <t>SUM of # Profit</t>
  </si>
  <si>
    <t>SUM of # Revenue</t>
  </si>
  <si>
    <t>Cummulative Revenue</t>
  </si>
  <si>
    <t>Cummulative Profit</t>
  </si>
  <si>
    <t>Grand Total</t>
  </si>
  <si>
    <t>Quarter</t>
  </si>
  <si>
    <t>Total Transactions</t>
  </si>
  <si>
    <t>Revenue</t>
  </si>
  <si>
    <t>Profit</t>
  </si>
  <si>
    <t>Active %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</si>
  <si>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</si>
  <si>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</si>
  <si>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</si>
  <si>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</si>
  <si>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</si>
  <si>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</si>
  <si>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</si>
  <si>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</si>
  <si>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</si>
  <si>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</si>
  <si>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</si>
  <si>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</si>
  <si>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</si>
  <si>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</si>
  <si>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</si>
  <si>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</si>
  <si>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</si>
  <si>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</si>
  <si>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</si>
  <si>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</si>
  <si>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Revenue of Q32021</t>
  </si>
  <si>
    <t>Profit of Q32021</t>
  </si>
  <si>
    <t>% active</t>
  </si>
  <si>
    <t>Revenue of Q42021</t>
  </si>
  <si>
    <t>Profit of Q42021</t>
  </si>
  <si>
    <t>Revenue  of Q42022</t>
  </si>
  <si>
    <t>Profit of Q42022</t>
  </si>
  <si>
    <t>Retention and attrition rates across cohorts, with active customers (Y-axis) and quarters (X-axis).</t>
  </si>
  <si>
    <t>Purchase Frequenc with AOF (Y-axis) and quarters (X-axis)</t>
  </si>
  <si>
    <t>Average Spend per Active Customer (Avg spend/active customer)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</si>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</sst>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%"/>
    <numFmt numFmtId="166" formatCode="0.0"/>
  </numFmts>
  <fonts count="9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color rgb="FFFFFFFF"/>
      <name val="Arial"/>
    </font>
    <font>
      <b/>
      <sz val="11.0"/>
      <color theme="1"/>
      <name val="Calibri"/>
    </font>
    <font>
      <sz val="9.0"/>
      <color theme="1"/>
      <name val="Arial"/>
    </font>
    <font>
      <sz val="9.0"/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8093B3"/>
        <bgColor rgb="FF8093B3"/>
      </patternFill>
    </fill>
    <fill>
      <patternFill patternType="solid">
        <fgColor rgb="FF9FC5E8"/>
        <bgColor rgb="FF9FC5E8"/>
      </patternFill>
    </fill>
    <fill>
      <patternFill patternType="solid">
        <fgColor rgb="FFE7E6E6"/>
        <bgColor rgb="FFE7E6E6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9" xfId="0" applyAlignment="1" applyBorder="1" applyFont="1" applyNumberFormat="1">
      <alignment horizontal="center"/>
    </xf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2" fontId="1" numFmtId="10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0" xfId="0" applyBorder="1" applyFont="1"/>
    <xf borderId="0" fillId="3" fontId="3" numFmtId="0" xfId="0" applyFill="1" applyFont="1"/>
    <xf borderId="1" fillId="2" fontId="1" numFmtId="3" xfId="0" applyAlignment="1" applyBorder="1" applyFont="1" applyNumberFormat="1">
      <alignment horizontal="center"/>
    </xf>
    <xf borderId="1" fillId="3" fontId="1" numFmtId="3" xfId="0" applyAlignment="1" applyBorder="1" applyFont="1" applyNumberFormat="1">
      <alignment horizontal="center"/>
    </xf>
    <xf borderId="1" fillId="3" fontId="1" numFmtId="4" xfId="0" applyAlignment="1" applyBorder="1" applyFont="1" applyNumberFormat="1">
      <alignment horizontal="center"/>
    </xf>
    <xf borderId="1" fillId="0" fontId="2" numFmtId="9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  <xf borderId="1" fillId="3" fontId="2" numFmtId="4" xfId="0" applyAlignment="1" applyBorder="1" applyFont="1" applyNumberForma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9" xfId="0" applyAlignment="1" applyBorder="1" applyFont="1" applyNumberFormat="1">
      <alignment horizontal="center"/>
    </xf>
    <xf borderId="1" fillId="2" fontId="2" numFmtId="4" xfId="0" applyAlignment="1" applyBorder="1" applyFont="1" applyNumberFormat="1">
      <alignment horizontal="center"/>
    </xf>
    <xf borderId="0" fillId="0" fontId="3" numFmtId="9" xfId="0" applyFont="1" applyNumberFormat="1"/>
    <xf borderId="0" fillId="0" fontId="3" numFmtId="165" xfId="0" applyFont="1" applyNumberFormat="1"/>
    <xf borderId="1" fillId="3" fontId="1" numFmtId="0" xfId="0" applyAlignment="1" applyBorder="1" applyFont="1">
      <alignment horizontal="center"/>
    </xf>
    <xf borderId="0" fillId="0" fontId="3" numFmtId="0" xfId="0" applyFont="1"/>
    <xf borderId="0" fillId="0" fontId="3" numFmtId="10" xfId="0" applyFont="1" applyNumberFormat="1"/>
    <xf borderId="0" fillId="4" fontId="4" numFmtId="0" xfId="0" applyAlignment="1" applyFill="1" applyFont="1">
      <alignment horizontal="center" shrinkToFit="0" wrapText="1"/>
    </xf>
    <xf borderId="0" fillId="0" fontId="3" numFmtId="3" xfId="0" applyFont="1" applyNumberFormat="1"/>
    <xf borderId="0" fillId="5" fontId="1" numFmtId="49" xfId="0" applyAlignment="1" applyFill="1" applyFont="1" applyNumberFormat="1">
      <alignment horizontal="right" shrinkToFit="0" vertical="bottom" wrapText="1"/>
    </xf>
    <xf borderId="0" fillId="5" fontId="1" numFmtId="3" xfId="0" applyAlignment="1" applyFont="1" applyNumberFormat="1">
      <alignment horizontal="right" shrinkToFit="0" vertical="bottom" wrapText="1"/>
    </xf>
    <xf borderId="0" fillId="5" fontId="2" numFmtId="0" xfId="0" applyAlignment="1" applyFont="1">
      <alignment horizontal="right" readingOrder="0" vertical="bottom"/>
    </xf>
    <xf borderId="0" fillId="5" fontId="1" numFmtId="1" xfId="0" applyAlignment="1" applyFont="1" applyNumberFormat="1">
      <alignment horizontal="right" shrinkToFit="0" vertical="bottom" wrapText="1"/>
    </xf>
    <xf borderId="0" fillId="5" fontId="1" numFmtId="166" xfId="0" applyAlignment="1" applyFont="1" applyNumberFormat="1">
      <alignment horizontal="right" shrinkToFit="0" vertical="bottom" wrapText="1"/>
    </xf>
    <xf borderId="0" fillId="5" fontId="1" numFmtId="49" xfId="0" applyAlignment="1" applyFont="1" applyNumberFormat="1">
      <alignment horizontal="right" vertical="bottom"/>
    </xf>
    <xf borderId="0" fillId="6" fontId="1" numFmtId="3" xfId="0" applyAlignment="1" applyFill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3" fontId="5" numFmtId="3" xfId="0" applyAlignment="1" applyFont="1" applyNumberFormat="1">
      <alignment horizontal="center" vertical="bottom"/>
    </xf>
    <xf borderId="0" fillId="3" fontId="2" numFmtId="3" xfId="0" applyAlignment="1" applyFont="1" applyNumberFormat="1">
      <alignment vertical="bottom"/>
    </xf>
    <xf borderId="0" fillId="3" fontId="2" numFmtId="9" xfId="0" applyAlignment="1" applyFont="1" applyNumberFormat="1">
      <alignment vertical="bottom"/>
    </xf>
    <xf borderId="0" fillId="3" fontId="2" numFmtId="164" xfId="0" applyAlignment="1" applyFont="1" applyNumberFormat="1">
      <alignment vertical="bottom"/>
    </xf>
    <xf borderId="0" fillId="3" fontId="2" numFmtId="4" xfId="0" applyAlignment="1" applyFont="1" applyNumberFormat="1">
      <alignment vertical="bottom"/>
    </xf>
    <xf borderId="1" fillId="7" fontId="1" numFmtId="3" xfId="0" applyAlignment="1" applyBorder="1" applyFill="1" applyFont="1" applyNumberFormat="1">
      <alignment horizontal="right" shrinkToFit="0" vertical="bottom" wrapText="1"/>
    </xf>
    <xf borderId="1" fillId="7" fontId="1" numFmtId="9" xfId="0" applyAlignment="1" applyBorder="1" applyFont="1" applyNumberFormat="1">
      <alignment shrinkToFit="0" vertical="bottom" wrapText="1"/>
    </xf>
    <xf borderId="1" fillId="7" fontId="1" numFmtId="3" xfId="0" applyAlignment="1" applyBorder="1" applyFont="1" applyNumberFormat="1">
      <alignment shrinkToFit="0" vertical="bottom" wrapText="1"/>
    </xf>
    <xf borderId="1" fillId="7" fontId="1" numFmtId="164" xfId="0" applyAlignment="1" applyBorder="1" applyFont="1" applyNumberFormat="1">
      <alignment shrinkToFit="0" vertical="bottom" wrapText="1"/>
    </xf>
    <xf borderId="1" fillId="7" fontId="1" numFmtId="4" xfId="0" applyAlignment="1" applyBorder="1" applyFont="1" applyNumberFormat="1">
      <alignment shrinkToFit="0" vertical="bottom" wrapText="1"/>
    </xf>
    <xf borderId="1" fillId="7" fontId="1" numFmtId="3" xfId="0" applyAlignment="1" applyBorder="1" applyFont="1" applyNumberFormat="1">
      <alignment horizontal="right" vertical="bottom"/>
    </xf>
    <xf borderId="1" fillId="3" fontId="1" numFmtId="3" xfId="0" applyAlignment="1" applyBorder="1" applyFont="1" applyNumberFormat="1">
      <alignment horizontal="right" vertical="bottom"/>
    </xf>
    <xf borderId="1" fillId="3" fontId="2" numFmtId="9" xfId="0" applyAlignment="1" applyBorder="1" applyFont="1" applyNumberFormat="1">
      <alignment horizontal="right" vertical="bottom"/>
    </xf>
    <xf borderId="1" fillId="3" fontId="2" numFmtId="3" xfId="0" applyAlignment="1" applyBorder="1" applyFont="1" applyNumberFormat="1">
      <alignment horizontal="right" vertical="bottom"/>
    </xf>
    <xf borderId="1" fillId="3" fontId="2" numFmtId="164" xfId="0" applyAlignment="1" applyBorder="1" applyFont="1" applyNumberFormat="1">
      <alignment horizontal="right" vertical="bottom"/>
    </xf>
    <xf borderId="1" fillId="3" fontId="2" numFmtId="3" xfId="0" applyAlignment="1" applyBorder="1" applyFont="1" applyNumberFormat="1">
      <alignment vertical="bottom"/>
    </xf>
    <xf borderId="1" fillId="3" fontId="2" numFmtId="9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vertical="bottom"/>
    </xf>
    <xf borderId="1" fillId="7" fontId="2" numFmtId="3" xfId="0" applyAlignment="1" applyBorder="1" applyFont="1" applyNumberFormat="1">
      <alignment vertical="bottom"/>
    </xf>
    <xf borderId="1" fillId="3" fontId="2" numFmtId="4" xfId="0" applyAlignment="1" applyBorder="1" applyFont="1" applyNumberFormat="1">
      <alignment vertical="bottom"/>
    </xf>
    <xf borderId="1" fillId="3" fontId="1" numFmtId="9" xfId="0" applyAlignment="1" applyBorder="1" applyFont="1" applyNumberFormat="1">
      <alignment horizontal="right" vertical="bottom"/>
    </xf>
    <xf borderId="1" fillId="3" fontId="1" numFmtId="4" xfId="0" applyAlignment="1" applyBorder="1" applyFont="1" applyNumberFormat="1">
      <alignment horizontal="right" vertical="bottom"/>
    </xf>
    <xf borderId="1" fillId="3" fontId="1" numFmtId="164" xfId="0" applyAlignment="1" applyBorder="1" applyFont="1" applyNumberFormat="1">
      <alignment horizontal="right" vertical="bottom"/>
    </xf>
    <xf borderId="1" fillId="7" fontId="1" numFmtId="10" xfId="0" applyAlignment="1" applyBorder="1" applyFont="1" applyNumberFormat="1">
      <alignment horizontal="right" vertical="bottom"/>
    </xf>
    <xf borderId="1" fillId="7" fontId="1" numFmtId="0" xfId="0" applyAlignment="1" applyBorder="1" applyFont="1">
      <alignment horizontal="right" vertical="bottom"/>
    </xf>
    <xf borderId="1" fillId="7" fontId="1" numFmtId="164" xfId="0" applyAlignment="1" applyBorder="1" applyFont="1" applyNumberFormat="1">
      <alignment horizontal="right" vertical="bottom"/>
    </xf>
    <xf borderId="0" fillId="0" fontId="6" numFmtId="3" xfId="0" applyAlignment="1" applyFont="1" applyNumberFormat="1">
      <alignment vertical="bottom"/>
    </xf>
    <xf borderId="0" fillId="3" fontId="6" numFmtId="164" xfId="0" applyAlignment="1" applyFont="1" applyNumberFormat="1">
      <alignment vertical="bottom"/>
    </xf>
    <xf borderId="0" fillId="3" fontId="6" numFmtId="3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7" numFmtId="0" xfId="0" applyFont="1"/>
    <xf borderId="2" fillId="8" fontId="1" numFmtId="0" xfId="0" applyAlignment="1" applyBorder="1" applyFill="1" applyFont="1">
      <alignment vertical="bottom"/>
    </xf>
    <xf borderId="2" fillId="8" fontId="2" numFmtId="0" xfId="0" applyAlignment="1" applyBorder="1" applyFont="1">
      <alignment vertical="bottom"/>
    </xf>
    <xf borderId="1" fillId="8" fontId="1" numFmtId="0" xfId="0" applyAlignment="1" applyBorder="1" applyFont="1">
      <alignment horizontal="center"/>
    </xf>
    <xf borderId="1" fillId="8" fontId="2" numFmtId="0" xfId="0" applyAlignment="1" applyBorder="1" applyFont="1">
      <alignment horizontal="center"/>
    </xf>
    <xf borderId="1" fillId="8" fontId="1" numFmtId="10" xfId="0" applyAlignment="1" applyBorder="1" applyFont="1" applyNumberFormat="1">
      <alignment horizontal="center"/>
    </xf>
    <xf borderId="1" fillId="3" fontId="2" numFmtId="0" xfId="0" applyAlignment="1" applyBorder="1" applyFont="1">
      <alignment vertical="bottom"/>
    </xf>
    <xf borderId="1" fillId="3" fontId="1" numFmtId="0" xfId="0" applyAlignment="1" applyBorder="1" applyFont="1">
      <alignment horizontal="right" vertical="bottom"/>
    </xf>
    <xf borderId="1" fillId="8" fontId="1" numFmtId="3" xfId="0" applyAlignment="1" applyBorder="1" applyFont="1" applyNumberFormat="1">
      <alignment horizontal="center"/>
    </xf>
    <xf borderId="3" fillId="8" fontId="1" numFmtId="0" xfId="0" applyAlignment="1" applyBorder="1" applyFont="1">
      <alignment vertical="bottom"/>
    </xf>
    <xf borderId="4" fillId="0" fontId="8" numFmtId="0" xfId="0" applyBorder="1" applyFont="1"/>
    <xf borderId="5" fillId="0" fontId="8" numFmtId="0" xfId="0" applyBorder="1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# Profit and SUM of #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Anaysis'!$F$18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Anaysis'!$E$19:$E$28</c:f>
            </c:strRef>
          </c:cat>
          <c:val>
            <c:numRef>
              <c:f>'Decile Anaysis'!$F$19:$F$28</c:f>
              <c:numCache/>
            </c:numRef>
          </c:val>
        </c:ser>
        <c:axId val="1738868683"/>
        <c:axId val="1091790681"/>
      </c:barChart>
      <c:lineChart>
        <c:varyColors val="0"/>
        <c:ser>
          <c:idx val="1"/>
          <c:order val="1"/>
          <c:tx>
            <c:strRef>
              <c:f>'Decile Anaysis'!$G$18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'Decile Anaysis'!$E$19:$E$28</c:f>
            </c:strRef>
          </c:cat>
          <c:val>
            <c:numRef>
              <c:f>'Decile Anaysis'!$G$19:$G$28</c:f>
              <c:numCache/>
            </c:numRef>
          </c:val>
          <c:smooth val="0"/>
        </c:ser>
        <c:axId val="1738868683"/>
        <c:axId val="1091790681"/>
      </c:lineChart>
      <c:catAx>
        <c:axId val="1738868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790681"/>
      </c:catAx>
      <c:valAx>
        <c:axId val="1091790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868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Analysis'!$D$2:$D$17</c:f>
              <c:numCache/>
            </c:numRef>
          </c:val>
        </c:ser>
        <c:axId val="1104192038"/>
        <c:axId val="1329984920"/>
      </c:barChart>
      <c:catAx>
        <c:axId val="1104192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984920"/>
      </c:catAx>
      <c:valAx>
        <c:axId val="1329984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192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 vs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Analysis'!$C$2:$C$17</c:f>
              <c:numCache/>
            </c:numRef>
          </c:val>
        </c:ser>
        <c:axId val="1690632582"/>
        <c:axId val="341395256"/>
      </c:barChart>
      <c:catAx>
        <c:axId val="1690632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395256"/>
      </c:catAx>
      <c:valAx>
        <c:axId val="341395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632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 vs Quarter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'Cohort Analysis'!$H$1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4285F4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Analysis'!$H$2:$H$17</c:f>
              <c:numCache/>
            </c:numRef>
          </c:val>
        </c:ser>
        <c:axId val="2041326454"/>
        <c:axId val="1114932091"/>
      </c:bar3DChart>
      <c:catAx>
        <c:axId val="2041326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932091"/>
      </c:catAx>
      <c:valAx>
        <c:axId val="1114932091"/>
        <c:scaling>
          <c:orientation val="minMax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32645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vs Quarter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'Cohort Analysis'!$G$1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Analysis'!$G$2:$G$17</c:f>
              <c:numCache/>
            </c:numRef>
          </c:val>
        </c:ser>
        <c:axId val="1098479858"/>
        <c:axId val="1189463424"/>
      </c:bar3DChart>
      <c:catAx>
        <c:axId val="1098479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463424"/>
      </c:catAx>
      <c:valAx>
        <c:axId val="1189463424"/>
        <c:scaling>
          <c:orientation val="minMax"/>
          <c:min val="6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4798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'Cohort #3'!$H$20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#3'!$A$21:$A$34</c:f>
            </c:strRef>
          </c:cat>
          <c:val>
            <c:numRef>
              <c:f>'Cohort #3'!$H$21:$H$34</c:f>
              <c:numCache/>
            </c:numRef>
          </c:val>
          <c:smooth val="0"/>
        </c:ser>
        <c:ser>
          <c:idx val="1"/>
          <c:order val="1"/>
          <c:tx>
            <c:strRef>
              <c:f>'Cohort #3'!$I$20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#3'!$A$21:$A$34</c:f>
            </c:strRef>
          </c:cat>
          <c:val>
            <c:numRef>
              <c:f>'Cohort #3'!$I$21:$I$34</c:f>
              <c:numCache/>
            </c:numRef>
          </c:val>
          <c:smooth val="0"/>
        </c:ser>
        <c:ser>
          <c:idx val="2"/>
          <c:order val="2"/>
          <c:tx>
            <c:strRef>
              <c:f>'Cohort #3'!$J$20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#3'!$A$21:$A$34</c:f>
            </c:strRef>
          </c:cat>
          <c:val>
            <c:numRef>
              <c:f>'Cohort #3'!$J$21:$J$34</c:f>
              <c:numCache/>
            </c:numRef>
          </c:val>
          <c:smooth val="0"/>
        </c:ser>
        <c:axId val="218658719"/>
        <c:axId val="1247431705"/>
      </c:lineChart>
      <c:catAx>
        <c:axId val="218658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431705"/>
      </c:catAx>
      <c:valAx>
        <c:axId val="1247431705"/>
        <c:scaling>
          <c:orientation val="minMax"/>
          <c:max val="1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658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'Cohort #3'!$E$20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#3'!$A$21:$A$34</c:f>
            </c:strRef>
          </c:cat>
          <c:val>
            <c:numRef>
              <c:f>'Cohort #3'!$E$21:$E$34</c:f>
              <c:numCache/>
            </c:numRef>
          </c:val>
          <c:smooth val="0"/>
        </c:ser>
        <c:ser>
          <c:idx val="1"/>
          <c:order val="1"/>
          <c:tx>
            <c:strRef>
              <c:f>'Cohort #3'!$F$20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#3'!$A$21:$A$34</c:f>
            </c:strRef>
          </c:cat>
          <c:val>
            <c:numRef>
              <c:f>'Cohort #3'!$F$21:$F$34</c:f>
              <c:numCache/>
            </c:numRef>
          </c:val>
          <c:smooth val="0"/>
        </c:ser>
        <c:ser>
          <c:idx val="2"/>
          <c:order val="2"/>
          <c:tx>
            <c:strRef>
              <c:f>'Cohort #3'!$G$20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#3'!$A$21:$A$34</c:f>
            </c:strRef>
          </c:cat>
          <c:val>
            <c:numRef>
              <c:f>'Cohort #3'!$G$21:$G$34</c:f>
              <c:numCache/>
            </c:numRef>
          </c:val>
          <c:smooth val="0"/>
        </c:ser>
        <c:axId val="179157123"/>
        <c:axId val="398435609"/>
      </c:lineChart>
      <c:catAx>
        <c:axId val="179157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435609"/>
      </c:catAx>
      <c:valAx>
        <c:axId val="398435609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57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#3'!$D$2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#3'!$A$3:$A$16</c:f>
            </c:strRef>
          </c:cat>
          <c:val>
            <c:numRef>
              <c:f>'Cohort #3'!$D$3:$D$16</c:f>
              <c:numCache/>
            </c:numRef>
          </c:val>
          <c:smooth val="0"/>
        </c:ser>
        <c:ser>
          <c:idx val="1"/>
          <c:order val="1"/>
          <c:tx>
            <c:strRef>
              <c:f>'Cohort #3'!$O$2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#3'!$A$3:$A$16</c:f>
            </c:strRef>
          </c:cat>
          <c:val>
            <c:numRef>
              <c:f>'Cohort #3'!$O$3:$O$16</c:f>
              <c:numCache/>
            </c:numRef>
          </c:val>
          <c:smooth val="0"/>
        </c:ser>
        <c:ser>
          <c:idx val="2"/>
          <c:order val="2"/>
          <c:tx>
            <c:strRef>
              <c:f>'Cohort #3'!$Y$2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#3'!$A$3:$A$16</c:f>
            </c:strRef>
          </c:cat>
          <c:val>
            <c:numRef>
              <c:f>'Cohort #3'!$Y$3:$Y$15</c:f>
              <c:numCache/>
            </c:numRef>
          </c:val>
          <c:smooth val="0"/>
        </c:ser>
        <c:axId val="1898827971"/>
        <c:axId val="2098387485"/>
      </c:lineChart>
      <c:catAx>
        <c:axId val="1898827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387485"/>
      </c:catAx>
      <c:valAx>
        <c:axId val="2098387485"/>
        <c:scaling>
          <c:orientation val="minMax"/>
          <c:max val="5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827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Pre-2021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'Annual Performance Table'!$B$2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Table'!$B$3:$B$7</c:f>
              <c:numCache/>
            </c:numRef>
          </c:val>
        </c:ser>
        <c:ser>
          <c:idx val="1"/>
          <c:order val="1"/>
          <c:tx>
            <c:strRef>
              <c:f>'Annual Performance Table'!$C$2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Table'!$C$3:$C$7</c:f>
              <c:numCache/>
            </c:numRef>
          </c:val>
        </c:ser>
        <c:ser>
          <c:idx val="2"/>
          <c:order val="2"/>
          <c:tx>
            <c:strRef>
              <c:f>'Annual Performance Table'!$D$2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Table'!$D$3:$D$7</c:f>
              <c:numCache/>
            </c:numRef>
          </c:val>
        </c:ser>
        <c:ser>
          <c:idx val="3"/>
          <c:order val="3"/>
          <c:tx>
            <c:strRef>
              <c:f>'Annual Performance Table'!$E$2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Table'!$E$3:$E$7</c:f>
              <c:numCache/>
            </c:numRef>
          </c:val>
        </c:ser>
        <c:overlap val="100"/>
        <c:axId val="1039088005"/>
        <c:axId val="842960046"/>
      </c:barChart>
      <c:catAx>
        <c:axId val="10390880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960046"/>
      </c:catAx>
      <c:valAx>
        <c:axId val="8429600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0880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'Annual Performance Table'!$B$18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Table'!$B$19:$B$23</c:f>
              <c:numCache/>
            </c:numRef>
          </c:val>
        </c:ser>
        <c:ser>
          <c:idx val="1"/>
          <c:order val="1"/>
          <c:tx>
            <c:strRef>
              <c:f>'Annual Performance Table'!$C$18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Table'!$C$19:$C$23</c:f>
              <c:numCache/>
            </c:numRef>
          </c:val>
        </c:ser>
        <c:ser>
          <c:idx val="2"/>
          <c:order val="2"/>
          <c:tx>
            <c:strRef>
              <c:f>'Annual Performance Table'!$D$18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Table'!$D$19:$D$23</c:f>
              <c:numCache/>
            </c:numRef>
          </c:val>
        </c:ser>
        <c:ser>
          <c:idx val="3"/>
          <c:order val="3"/>
          <c:tx>
            <c:strRef>
              <c:f>'Annual Performance Table'!$E$18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Table'!$E$19:$E$23</c:f>
              <c:numCache/>
            </c:numRef>
          </c:val>
        </c:ser>
        <c:overlap val="100"/>
        <c:axId val="896118397"/>
        <c:axId val="1527201415"/>
      </c:barChart>
      <c:catAx>
        <c:axId val="8961183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201415"/>
      </c:catAx>
      <c:valAx>
        <c:axId val="15272014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1183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Decile vs Transaction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'Annual Performance Table'!$M$1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Performance Table'!$K$2:$K$10</c:f>
            </c:strRef>
          </c:cat>
          <c:val>
            <c:numRef>
              <c:f>'Annual Performance Table'!$M$2:$M$11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and Profit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'Annual Performance Table'!$N$1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'Annual Performance Table'!$K$2:$K$11</c:f>
            </c:numRef>
          </c:xVal>
          <c:yVal>
            <c:numRef>
              <c:f>'Annual Performance Table'!$N$2:$N$11</c:f>
              <c:numCache/>
            </c:numRef>
          </c:yVal>
        </c:ser>
        <c:ser>
          <c:idx val="1"/>
          <c:order val="1"/>
          <c:tx>
            <c:strRef>
              <c:f>'Annual Performance Table'!$O$1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'Annual Performance Table'!$K$2:$K$11</c:f>
            </c:numRef>
          </c:xVal>
          <c:yVal>
            <c:numRef>
              <c:f>'Annual Performance Table'!$O$2:$O$11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42027"/>
        <c:axId val="226700917"/>
      </c:scatterChart>
      <c:valAx>
        <c:axId val="5480420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700917"/>
      </c:valAx>
      <c:valAx>
        <c:axId val="226700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042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Decile and Avg spend/cost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'Annual Performance Table'!$Q$1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'Annual Performance Table'!$K$2:$K$11</c:f>
            </c:strRef>
          </c:cat>
          <c:val>
            <c:numRef>
              <c:f>'Annual Performance Table'!$Q$2:$Q$11</c:f>
              <c:numCache/>
            </c:numRef>
          </c:val>
        </c:ser>
        <c:axId val="803357085"/>
        <c:axId val="1473181550"/>
      </c:barChart>
      <c:catAx>
        <c:axId val="803357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181550"/>
      </c:catAx>
      <c:valAx>
        <c:axId val="1473181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357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image" Target="../media/Chart1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29</xdr:row>
      <xdr:rowOff>57150</xdr:rowOff>
    </xdr:from>
    <xdr:ext cx="4914900" cy="3038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47625</xdr:rowOff>
    </xdr:from>
    <xdr:ext cx="5086350" cy="3143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523875</xdr:colOff>
      <xdr:row>17</xdr:row>
      <xdr:rowOff>133350</xdr:rowOff>
    </xdr:from>
    <xdr:ext cx="4724400" cy="2924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171450</xdr:rowOff>
    </xdr:from>
    <xdr:ext cx="4848225" cy="3000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371475</xdr:colOff>
      <xdr:row>33</xdr:row>
      <xdr:rowOff>76200</xdr:rowOff>
    </xdr:from>
    <xdr:ext cx="5172075" cy="3200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34</xdr:row>
      <xdr:rowOff>180975</xdr:rowOff>
    </xdr:from>
    <xdr:ext cx="5000625" cy="2200275"/>
    <xdr:pic>
      <xdr:nvPicPr>
        <xdr:cNvPr id="2083025529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34</xdr:row>
      <xdr:rowOff>180975</xdr:rowOff>
    </xdr:from>
    <xdr:ext cx="5143500" cy="22002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76200</xdr:colOff>
      <xdr:row>47</xdr:row>
      <xdr:rowOff>85725</xdr:rowOff>
    </xdr:from>
    <xdr:ext cx="4857750" cy="24765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600075</xdr:colOff>
      <xdr:row>47</xdr:row>
      <xdr:rowOff>85725</xdr:rowOff>
    </xdr:from>
    <xdr:ext cx="4914900" cy="26479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219075</xdr:colOff>
      <xdr:row>46</xdr:row>
      <xdr:rowOff>85725</xdr:rowOff>
    </xdr:from>
    <xdr:ext cx="4686300" cy="2847975"/>
    <xdr:pic>
      <xdr:nvPicPr>
        <xdr:cNvPr id="743854212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0</xdr:row>
      <xdr:rowOff>0</xdr:rowOff>
    </xdr:from>
    <xdr:ext cx="4057650" cy="23526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295275</xdr:colOff>
      <xdr:row>14</xdr:row>
      <xdr:rowOff>57150</xdr:rowOff>
    </xdr:from>
    <xdr:ext cx="3886200" cy="20859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142875</xdr:colOff>
      <xdr:row>12</xdr:row>
      <xdr:rowOff>76200</xdr:rowOff>
    </xdr:from>
    <xdr:ext cx="3933825" cy="24288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628650</xdr:colOff>
      <xdr:row>12</xdr:row>
      <xdr:rowOff>76200</xdr:rowOff>
    </xdr:from>
    <xdr:ext cx="4495800" cy="24288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361950</xdr:colOff>
      <xdr:row>23</xdr:row>
      <xdr:rowOff>190500</xdr:rowOff>
    </xdr:from>
    <xdr:ext cx="4572000" cy="28194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8:C28" sheet="Decile Anaysis"/>
  </cacheSource>
  <cacheFields>
    <cacheField name="Decile" numFmtId="3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# Revenue" numFmtId="4">
      <sharedItems containsSemiMixedTypes="0" containsString="0" containsNumber="1" containsInteger="1">
        <n v="1.28952505E8"/>
        <n v="5.5542905E7"/>
        <n v="3.8274225E7"/>
        <n v="2.901701E7"/>
        <n v="2.2555225E7"/>
        <n v="1.7169955E7"/>
        <n v="1.347071E7"/>
        <n v="9381075.0"/>
        <n v="7496500.0"/>
        <n v="3740550.0"/>
      </sharedItems>
    </cacheField>
    <cacheField name="# Profit" numFmtId="4">
      <sharedItems containsSemiMixedTypes="0" containsString="0" containsNumber="1" containsInteger="1">
        <n v="6.2160175E7"/>
        <n v="2.707903E7"/>
        <n v="1.8722055E7"/>
        <n v="1.3916595E7"/>
        <n v="1.0734405E7"/>
        <n v="7948270.0"/>
        <n v="6240025.0"/>
        <n v="4326685.0"/>
        <n v="3334100.0"/>
        <n v="155479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 Anaysis" cacheId="0" dataCaption="" compact="0" compactData="0">
  <location ref="E18:G29" firstHeaderRow="0" firstDataRow="2" firstDataCol="0"/>
  <pivotFields>
    <pivotField name="Decile" axis="axisRow" compact="0" numFmtId="3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# Profit" fld="2" showDataAs="percentOfTotal" baseField="0" numFmtId="10"/>
    <dataField name="SUM of # Revenue" fld="1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1" t="s">
        <v>10</v>
      </c>
      <c r="L1" s="6" t="s">
        <v>11</v>
      </c>
      <c r="M1" s="1" t="s">
        <v>12</v>
      </c>
      <c r="N1" s="7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>
      <c r="A2" s="9">
        <v>1.0</v>
      </c>
      <c r="B2" s="10">
        <v>3180.0</v>
      </c>
      <c r="C2" s="11">
        <v>17503.0</v>
      </c>
      <c r="D2" s="11">
        <v>1.28952505E8</v>
      </c>
      <c r="E2" s="11">
        <v>6.2160175E7</v>
      </c>
      <c r="F2" s="12">
        <f t="shared" ref="F2:F12" si="2">B2/$B$12</f>
        <v>0.1000094349</v>
      </c>
      <c r="G2" s="13">
        <f t="shared" ref="G2:G12" si="3">C2/$C$12</f>
        <v>0.2857166177</v>
      </c>
      <c r="H2" s="13">
        <f t="shared" ref="H2:H12" si="4">D2/$D$12</f>
        <v>0.3960449742</v>
      </c>
      <c r="I2" s="13">
        <f t="shared" ref="I2:I12" si="5">E2/$E$12</f>
        <v>0.3984214517</v>
      </c>
      <c r="J2" s="14">
        <f t="shared" ref="J2:J12" si="6">D2/B2</f>
        <v>40551.1022</v>
      </c>
      <c r="K2" s="14">
        <f t="shared" ref="K2:K12" si="7">E2/B2</f>
        <v>19547.22484</v>
      </c>
      <c r="L2" s="15">
        <f t="shared" ref="L2:N2" si="1">C2/B2</f>
        <v>5.50408805</v>
      </c>
      <c r="M2" s="14">
        <f t="shared" si="1"/>
        <v>7367.45158</v>
      </c>
      <c r="N2" s="16">
        <f t="shared" si="1"/>
        <v>0.4820392981</v>
      </c>
    </row>
    <row r="3">
      <c r="A3" s="9">
        <v>2.0</v>
      </c>
      <c r="B3" s="10">
        <v>3180.0</v>
      </c>
      <c r="C3" s="11">
        <v>8703.0</v>
      </c>
      <c r="D3" s="11">
        <v>5.5542905E7</v>
      </c>
      <c r="E3" s="11">
        <v>2.707903E7</v>
      </c>
      <c r="F3" s="12">
        <f t="shared" si="2"/>
        <v>0.1000094349</v>
      </c>
      <c r="G3" s="13">
        <f t="shared" si="3"/>
        <v>0.1420666014</v>
      </c>
      <c r="H3" s="13">
        <f t="shared" si="4"/>
        <v>0.1705859718</v>
      </c>
      <c r="I3" s="13">
        <f t="shared" si="5"/>
        <v>0.1735655738</v>
      </c>
      <c r="J3" s="14">
        <f t="shared" si="6"/>
        <v>17466.32233</v>
      </c>
      <c r="K3" s="14">
        <f t="shared" si="7"/>
        <v>8515.418239</v>
      </c>
      <c r="L3" s="15">
        <f t="shared" ref="L3:N3" si="8">C3/B3</f>
        <v>2.736792453</v>
      </c>
      <c r="M3" s="14">
        <f t="shared" si="8"/>
        <v>6382.04125</v>
      </c>
      <c r="N3" s="16">
        <f t="shared" si="8"/>
        <v>0.4875335563</v>
      </c>
    </row>
    <row r="4">
      <c r="A4" s="9">
        <v>3.0</v>
      </c>
      <c r="B4" s="10">
        <v>3177.0</v>
      </c>
      <c r="C4" s="11">
        <v>6345.0</v>
      </c>
      <c r="D4" s="11">
        <v>3.8274225E7</v>
      </c>
      <c r="E4" s="11">
        <v>1.8722055E7</v>
      </c>
      <c r="F4" s="12">
        <f t="shared" si="2"/>
        <v>0.09991508633</v>
      </c>
      <c r="G4" s="13">
        <f t="shared" si="3"/>
        <v>0.1035749265</v>
      </c>
      <c r="H4" s="13">
        <f t="shared" si="4"/>
        <v>0.1175495928</v>
      </c>
      <c r="I4" s="13">
        <f t="shared" si="5"/>
        <v>0.1200007615</v>
      </c>
      <c r="J4" s="14">
        <f t="shared" si="6"/>
        <v>12047.28517</v>
      </c>
      <c r="K4" s="14">
        <f t="shared" si="7"/>
        <v>5892.998111</v>
      </c>
      <c r="L4" s="15">
        <f t="shared" ref="L4:N4" si="9">C4/B4</f>
        <v>1.997167139</v>
      </c>
      <c r="M4" s="14">
        <f t="shared" si="9"/>
        <v>6032.186761</v>
      </c>
      <c r="N4" s="16">
        <f t="shared" si="9"/>
        <v>0.4891556916</v>
      </c>
    </row>
    <row r="5">
      <c r="A5" s="9">
        <v>4.0</v>
      </c>
      <c r="B5" s="10">
        <v>3178.0</v>
      </c>
      <c r="C5" s="11">
        <v>5349.0</v>
      </c>
      <c r="D5" s="11">
        <v>2.901701E7</v>
      </c>
      <c r="E5" s="11">
        <v>1.3916595E7</v>
      </c>
      <c r="F5" s="12">
        <f t="shared" si="2"/>
        <v>0.09994653584</v>
      </c>
      <c r="G5" s="13">
        <f t="shared" si="3"/>
        <v>0.08731635651</v>
      </c>
      <c r="H5" s="13">
        <f t="shared" si="4"/>
        <v>0.08911840044</v>
      </c>
      <c r="I5" s="13">
        <f t="shared" si="5"/>
        <v>0.08919971643</v>
      </c>
      <c r="J5" s="14">
        <f t="shared" si="6"/>
        <v>9130.58842</v>
      </c>
      <c r="K5" s="14">
        <f t="shared" si="7"/>
        <v>4379.04185</v>
      </c>
      <c r="L5" s="15">
        <f t="shared" ref="L5:N5" si="10">C5/B5</f>
        <v>1.683134047</v>
      </c>
      <c r="M5" s="14">
        <f t="shared" si="10"/>
        <v>5424.75416</v>
      </c>
      <c r="N5" s="16">
        <f t="shared" si="10"/>
        <v>0.4796012753</v>
      </c>
    </row>
    <row r="6">
      <c r="A6" s="9">
        <v>5.0</v>
      </c>
      <c r="B6" s="10">
        <v>3183.0</v>
      </c>
      <c r="C6" s="11">
        <v>4683.0</v>
      </c>
      <c r="D6" s="11">
        <v>2.2555225E7</v>
      </c>
      <c r="E6" s="11">
        <v>1.0734405E7</v>
      </c>
      <c r="F6" s="12">
        <f t="shared" si="2"/>
        <v>0.1001037834</v>
      </c>
      <c r="G6" s="13">
        <f t="shared" si="3"/>
        <v>0.0764446621</v>
      </c>
      <c r="H6" s="13">
        <f t="shared" si="4"/>
        <v>0.06927266364</v>
      </c>
      <c r="I6" s="13">
        <f t="shared" si="5"/>
        <v>0.06880317218</v>
      </c>
      <c r="J6" s="14">
        <f t="shared" si="6"/>
        <v>7086.153</v>
      </c>
      <c r="K6" s="14">
        <f t="shared" si="7"/>
        <v>3372.417531</v>
      </c>
      <c r="L6" s="15">
        <f t="shared" ref="L6:N6" si="11">C6/B6</f>
        <v>1.471253534</v>
      </c>
      <c r="M6" s="14">
        <f t="shared" si="11"/>
        <v>4816.405082</v>
      </c>
      <c r="N6" s="16">
        <f t="shared" si="11"/>
        <v>0.4759165559</v>
      </c>
    </row>
    <row r="7">
      <c r="A7" s="9">
        <v>6.0</v>
      </c>
      <c r="B7" s="10">
        <v>3124.0</v>
      </c>
      <c r="C7" s="11">
        <v>4330.0</v>
      </c>
      <c r="D7" s="11">
        <v>1.7169955E7</v>
      </c>
      <c r="E7" s="11">
        <v>7948270.0</v>
      </c>
      <c r="F7" s="12">
        <f t="shared" si="2"/>
        <v>0.09824826241</v>
      </c>
      <c r="G7" s="13">
        <f t="shared" si="3"/>
        <v>0.07068233758</v>
      </c>
      <c r="H7" s="13">
        <f t="shared" si="4"/>
        <v>0.05273317014</v>
      </c>
      <c r="I7" s="13">
        <f t="shared" si="5"/>
        <v>0.05094517948</v>
      </c>
      <c r="J7" s="14">
        <f t="shared" si="6"/>
        <v>5496.144366</v>
      </c>
      <c r="K7" s="14">
        <f t="shared" si="7"/>
        <v>2544.260563</v>
      </c>
      <c r="L7" s="15">
        <f t="shared" ref="L7:N7" si="12">C7/B7</f>
        <v>1.386043534</v>
      </c>
      <c r="M7" s="14">
        <f t="shared" si="12"/>
        <v>3965.347575</v>
      </c>
      <c r="N7" s="16">
        <f t="shared" si="12"/>
        <v>0.462917346</v>
      </c>
    </row>
    <row r="8">
      <c r="A8" s="9">
        <v>7.0</v>
      </c>
      <c r="B8" s="10">
        <v>3233.0</v>
      </c>
      <c r="C8" s="11">
        <v>4004.0</v>
      </c>
      <c r="D8" s="11">
        <v>1.347071E7</v>
      </c>
      <c r="E8" s="11">
        <v>6240025.0</v>
      </c>
      <c r="F8" s="12">
        <f t="shared" si="2"/>
        <v>0.1016762588</v>
      </c>
      <c r="G8" s="13">
        <f t="shared" si="3"/>
        <v>0.06536075743</v>
      </c>
      <c r="H8" s="13">
        <f t="shared" si="4"/>
        <v>0.0413718756</v>
      </c>
      <c r="I8" s="13">
        <f t="shared" si="5"/>
        <v>0.03999602349</v>
      </c>
      <c r="J8" s="14">
        <f t="shared" si="6"/>
        <v>4166.628518</v>
      </c>
      <c r="K8" s="14">
        <f t="shared" si="7"/>
        <v>1930.103619</v>
      </c>
      <c r="L8" s="15">
        <f t="shared" ref="L8:N8" si="13">C8/B8</f>
        <v>1.238478194</v>
      </c>
      <c r="M8" s="14">
        <f t="shared" si="13"/>
        <v>3364.313187</v>
      </c>
      <c r="N8" s="16">
        <f t="shared" si="13"/>
        <v>0.4632291097</v>
      </c>
    </row>
    <row r="9">
      <c r="A9" s="9">
        <v>8.0</v>
      </c>
      <c r="B9" s="10">
        <v>2996.0</v>
      </c>
      <c r="C9" s="11">
        <v>3414.0</v>
      </c>
      <c r="D9" s="11">
        <v>9381075.0</v>
      </c>
      <c r="E9" s="11">
        <v>4326685.0</v>
      </c>
      <c r="F9" s="12">
        <f t="shared" si="2"/>
        <v>0.09422272541</v>
      </c>
      <c r="G9" s="13">
        <f t="shared" si="3"/>
        <v>0.05572967679</v>
      </c>
      <c r="H9" s="13">
        <f t="shared" si="4"/>
        <v>0.028811597</v>
      </c>
      <c r="I9" s="13">
        <f t="shared" si="5"/>
        <v>0.02773229192</v>
      </c>
      <c r="J9" s="14">
        <f t="shared" si="6"/>
        <v>3131.199933</v>
      </c>
      <c r="K9" s="14">
        <f t="shared" si="7"/>
        <v>1444.153872</v>
      </c>
      <c r="L9" s="15">
        <f t="shared" ref="L9:N9" si="14">C9/B9</f>
        <v>1.139519359</v>
      </c>
      <c r="M9" s="14">
        <f t="shared" si="14"/>
        <v>2747.825132</v>
      </c>
      <c r="N9" s="16">
        <f t="shared" si="14"/>
        <v>0.4612141999</v>
      </c>
    </row>
    <row r="10">
      <c r="A10" s="9">
        <v>9.0</v>
      </c>
      <c r="B10" s="10">
        <v>3360.0</v>
      </c>
      <c r="C10" s="11">
        <v>3659.0</v>
      </c>
      <c r="D10" s="11">
        <v>7496500.0</v>
      </c>
      <c r="E10" s="11">
        <v>3334100.0</v>
      </c>
      <c r="F10" s="12">
        <f t="shared" si="2"/>
        <v>0.1056703463</v>
      </c>
      <c r="G10" s="13">
        <f t="shared" si="3"/>
        <v>0.05972902383</v>
      </c>
      <c r="H10" s="13">
        <f t="shared" si="4"/>
        <v>0.02302360198</v>
      </c>
      <c r="I10" s="13">
        <f t="shared" si="5"/>
        <v>0.02137022559</v>
      </c>
      <c r="J10" s="14">
        <f t="shared" si="6"/>
        <v>2231.10119</v>
      </c>
      <c r="K10" s="14">
        <f t="shared" si="7"/>
        <v>992.2916667</v>
      </c>
      <c r="L10" s="15">
        <f t="shared" ref="L10:N10" si="15">C10/B10</f>
        <v>1.088988095</v>
      </c>
      <c r="M10" s="14">
        <f t="shared" si="15"/>
        <v>2048.783821</v>
      </c>
      <c r="N10" s="16">
        <f t="shared" si="15"/>
        <v>0.4447542186</v>
      </c>
    </row>
    <row r="11">
      <c r="A11" s="9">
        <v>10.0</v>
      </c>
      <c r="B11" s="10">
        <v>3186.0</v>
      </c>
      <c r="C11" s="11">
        <v>3270.0</v>
      </c>
      <c r="D11" s="11">
        <v>3740550.0</v>
      </c>
      <c r="E11" s="11">
        <v>1554795.0</v>
      </c>
      <c r="F11" s="12">
        <f t="shared" si="2"/>
        <v>0.1001981319</v>
      </c>
      <c r="G11" s="13">
        <f t="shared" si="3"/>
        <v>0.05337904016</v>
      </c>
      <c r="H11" s="13">
        <f t="shared" si="4"/>
        <v>0.01148815239</v>
      </c>
      <c r="I11" s="13">
        <f t="shared" si="5"/>
        <v>0.009965603878</v>
      </c>
      <c r="J11" s="14">
        <f t="shared" si="6"/>
        <v>1174.05838</v>
      </c>
      <c r="K11" s="14">
        <f t="shared" si="7"/>
        <v>488.0084746</v>
      </c>
      <c r="L11" s="15">
        <f t="shared" ref="L11:N11" si="16">C11/B11</f>
        <v>1.026365348</v>
      </c>
      <c r="M11" s="14">
        <f t="shared" si="16"/>
        <v>1143.899083</v>
      </c>
      <c r="N11" s="16">
        <f t="shared" si="16"/>
        <v>0.4156594618</v>
      </c>
    </row>
    <row r="12">
      <c r="A12" s="17" t="s">
        <v>14</v>
      </c>
      <c r="B12" s="10">
        <v>31797.0</v>
      </c>
      <c r="C12" s="11">
        <v>61260.0</v>
      </c>
      <c r="D12" s="11">
        <v>3.2560066E8</v>
      </c>
      <c r="E12" s="11">
        <v>1.56016135E8</v>
      </c>
      <c r="F12" s="12">
        <f t="shared" si="2"/>
        <v>1</v>
      </c>
      <c r="G12" s="13">
        <f t="shared" si="3"/>
        <v>1</v>
      </c>
      <c r="H12" s="13">
        <f t="shared" si="4"/>
        <v>1</v>
      </c>
      <c r="I12" s="13">
        <f t="shared" si="5"/>
        <v>1</v>
      </c>
      <c r="J12" s="14">
        <f t="shared" si="6"/>
        <v>10239.9805</v>
      </c>
      <c r="K12" s="14">
        <f t="shared" si="7"/>
        <v>4906.630657</v>
      </c>
      <c r="L12" s="15">
        <f t="shared" ref="L12:N12" si="17">C12/B12</f>
        <v>1.926596849</v>
      </c>
      <c r="M12" s="14">
        <f t="shared" si="17"/>
        <v>5315.061378</v>
      </c>
      <c r="N12" s="16">
        <f t="shared" si="17"/>
        <v>0.4791640625</v>
      </c>
    </row>
    <row r="13">
      <c r="A13" s="8"/>
      <c r="F13" s="18"/>
    </row>
    <row r="14">
      <c r="A14" s="8"/>
      <c r="F14" s="18"/>
    </row>
    <row r="15">
      <c r="A15" s="8"/>
      <c r="F15" s="18"/>
    </row>
    <row r="16">
      <c r="A16" s="8"/>
      <c r="F16" s="18"/>
    </row>
    <row r="17">
      <c r="A17" s="8"/>
      <c r="F17" s="19"/>
      <c r="G17" s="19"/>
    </row>
    <row r="18">
      <c r="A18" s="20" t="s">
        <v>0</v>
      </c>
      <c r="B18" s="1" t="s">
        <v>3</v>
      </c>
      <c r="C18" s="1" t="s">
        <v>4</v>
      </c>
      <c r="H18" s="23" t="s">
        <v>17</v>
      </c>
      <c r="I18" s="23" t="s">
        <v>18</v>
      </c>
    </row>
    <row r="19">
      <c r="A19" s="10">
        <v>1.0</v>
      </c>
      <c r="B19" s="11">
        <v>1.28952505E8</v>
      </c>
      <c r="C19" s="11">
        <v>6.2160175E7</v>
      </c>
      <c r="H19" s="22">
        <f t="shared" ref="H19:I19" si="18">F19</f>
        <v>0.3984214517</v>
      </c>
      <c r="I19" s="22">
        <f t="shared" si="18"/>
        <v>0.3960449742</v>
      </c>
    </row>
    <row r="20">
      <c r="A20" s="10">
        <v>2.0</v>
      </c>
      <c r="B20" s="11">
        <v>5.5542905E7</v>
      </c>
      <c r="C20" s="11">
        <v>2.707903E7</v>
      </c>
      <c r="H20" s="22">
        <f t="shared" ref="H20:I20" si="19">F20+H19</f>
        <v>0.5719870256</v>
      </c>
      <c r="I20" s="22">
        <f t="shared" si="19"/>
        <v>0.566630946</v>
      </c>
    </row>
    <row r="21">
      <c r="A21" s="10">
        <v>3.0</v>
      </c>
      <c r="B21" s="11">
        <v>3.8274225E7</v>
      </c>
      <c r="C21" s="11">
        <v>1.8722055E7</v>
      </c>
      <c r="H21" s="22">
        <f t="shared" ref="H21:I21" si="20">F21+H20</f>
        <v>0.691987787</v>
      </c>
      <c r="I21" s="22">
        <f t="shared" si="20"/>
        <v>0.6841805388</v>
      </c>
    </row>
    <row r="22">
      <c r="A22" s="10">
        <v>4.0</v>
      </c>
      <c r="B22" s="11">
        <v>2.901701E7</v>
      </c>
      <c r="C22" s="11">
        <v>1.3916595E7</v>
      </c>
      <c r="H22" s="22">
        <f t="shared" ref="H22:I22" si="21">F22+H21</f>
        <v>0.7811875035</v>
      </c>
      <c r="I22" s="22">
        <f t="shared" si="21"/>
        <v>0.7732989393</v>
      </c>
    </row>
    <row r="23">
      <c r="A23" s="10">
        <v>5.0</v>
      </c>
      <c r="B23" s="11">
        <v>2.2555225E7</v>
      </c>
      <c r="C23" s="11">
        <v>1.0734405E7</v>
      </c>
      <c r="H23" s="22">
        <f t="shared" ref="H23:I23" si="22">F23+H22</f>
        <v>0.8499906756</v>
      </c>
      <c r="I23" s="22">
        <f t="shared" si="22"/>
        <v>0.8425716029</v>
      </c>
    </row>
    <row r="24">
      <c r="A24" s="10">
        <v>6.0</v>
      </c>
      <c r="B24" s="11">
        <v>1.7169955E7</v>
      </c>
      <c r="C24" s="11">
        <v>7948270.0</v>
      </c>
      <c r="H24" s="22">
        <f t="shared" ref="H24:I24" si="23">F24+H23</f>
        <v>0.9009358551</v>
      </c>
      <c r="I24" s="22">
        <f t="shared" si="23"/>
        <v>0.895304773</v>
      </c>
    </row>
    <row r="25">
      <c r="A25" s="10">
        <v>7.0</v>
      </c>
      <c r="B25" s="11">
        <v>1.347071E7</v>
      </c>
      <c r="C25" s="11">
        <v>6240025.0</v>
      </c>
      <c r="H25" s="22">
        <f t="shared" ref="H25:I25" si="24">F25+H24</f>
        <v>0.9409318786</v>
      </c>
      <c r="I25" s="22">
        <f t="shared" si="24"/>
        <v>0.9366766486</v>
      </c>
    </row>
    <row r="26">
      <c r="A26" s="10">
        <v>8.0</v>
      </c>
      <c r="B26" s="11">
        <v>9381075.0</v>
      </c>
      <c r="C26" s="11">
        <v>4326685.0</v>
      </c>
      <c r="H26" s="22">
        <f t="shared" ref="H26:I26" si="25">F26+H25</f>
        <v>0.9686641705</v>
      </c>
      <c r="I26" s="22">
        <f t="shared" si="25"/>
        <v>0.9654882456</v>
      </c>
    </row>
    <row r="27">
      <c r="A27" s="10">
        <v>9.0</v>
      </c>
      <c r="B27" s="11">
        <v>7496500.0</v>
      </c>
      <c r="C27" s="11">
        <v>3334100.0</v>
      </c>
      <c r="H27" s="22">
        <f t="shared" ref="H27:I27" si="26">F27+H26</f>
        <v>0.9900343961</v>
      </c>
      <c r="I27" s="22">
        <f t="shared" si="26"/>
        <v>0.9885118476</v>
      </c>
    </row>
    <row r="28">
      <c r="A28" s="10">
        <v>10.0</v>
      </c>
      <c r="B28" s="11">
        <v>3740550.0</v>
      </c>
      <c r="C28" s="11">
        <v>1554795.0</v>
      </c>
      <c r="H28" s="22">
        <f t="shared" ref="H28:I28" si="27">F28+H27</f>
        <v>1</v>
      </c>
      <c r="I28" s="22">
        <f t="shared" si="27"/>
        <v>1</v>
      </c>
    </row>
    <row r="29">
      <c r="A29" s="8"/>
    </row>
    <row r="30">
      <c r="A30" s="8"/>
      <c r="F30" s="18"/>
    </row>
    <row r="31">
      <c r="A31" s="8"/>
      <c r="F31" s="18"/>
    </row>
    <row r="32">
      <c r="A32" s="8"/>
      <c r="F32" s="18"/>
    </row>
    <row r="33">
      <c r="A33" s="8"/>
      <c r="F33" s="18"/>
    </row>
    <row r="34">
      <c r="A34" s="8"/>
      <c r="F34" s="18"/>
    </row>
    <row r="35">
      <c r="A35" s="8"/>
      <c r="F35" s="18"/>
    </row>
    <row r="36">
      <c r="A36" s="8"/>
      <c r="F36" s="18"/>
    </row>
    <row r="37">
      <c r="A37" s="8"/>
      <c r="F37" s="18"/>
    </row>
    <row r="38">
      <c r="A38" s="8"/>
      <c r="F38" s="18"/>
    </row>
    <row r="39">
      <c r="A39" s="8"/>
      <c r="F39" s="18"/>
    </row>
    <row r="40">
      <c r="A40" s="8"/>
      <c r="F40" s="18"/>
    </row>
    <row r="41">
      <c r="A41" s="8"/>
      <c r="F41" s="18"/>
    </row>
    <row r="42">
      <c r="A42" s="8"/>
      <c r="F42" s="18"/>
    </row>
    <row r="43">
      <c r="A43" s="8"/>
      <c r="F43" s="18"/>
    </row>
    <row r="44">
      <c r="A44" s="8"/>
      <c r="F44" s="18"/>
    </row>
    <row r="45">
      <c r="A45" s="8"/>
      <c r="F45" s="18"/>
    </row>
    <row r="46">
      <c r="A46" s="8"/>
      <c r="F46" s="18"/>
    </row>
    <row r="47">
      <c r="A47" s="8"/>
      <c r="F47" s="18"/>
    </row>
    <row r="48">
      <c r="A48" s="8"/>
      <c r="F48" s="18"/>
    </row>
    <row r="49">
      <c r="A49" s="8"/>
      <c r="F49" s="18"/>
    </row>
    <row r="50">
      <c r="A50" s="8"/>
      <c r="F50" s="18"/>
    </row>
    <row r="51">
      <c r="A51" s="8"/>
      <c r="F51" s="18"/>
    </row>
    <row r="52">
      <c r="A52" s="8"/>
      <c r="F52" s="18"/>
    </row>
    <row r="53">
      <c r="A53" s="8"/>
      <c r="F53" s="18"/>
    </row>
    <row r="54">
      <c r="A54" s="8"/>
      <c r="F54" s="18"/>
    </row>
    <row r="55">
      <c r="A55" s="8"/>
      <c r="F55" s="18"/>
    </row>
    <row r="56">
      <c r="A56" s="8"/>
      <c r="F56" s="18"/>
    </row>
    <row r="57">
      <c r="A57" s="8"/>
      <c r="F57" s="18"/>
    </row>
    <row r="58">
      <c r="A58" s="8"/>
      <c r="F58" s="18"/>
    </row>
    <row r="59">
      <c r="A59" s="8"/>
      <c r="F59" s="18"/>
    </row>
    <row r="60">
      <c r="A60" s="8"/>
      <c r="F60" s="18"/>
    </row>
    <row r="61">
      <c r="A61" s="8"/>
      <c r="F61" s="18"/>
    </row>
    <row r="62">
      <c r="A62" s="8"/>
      <c r="F62" s="18"/>
    </row>
    <row r="63">
      <c r="A63" s="8"/>
      <c r="F63" s="18"/>
    </row>
    <row r="64">
      <c r="A64" s="8"/>
      <c r="F64" s="18"/>
    </row>
    <row r="65">
      <c r="A65" s="8"/>
      <c r="F65" s="18"/>
    </row>
    <row r="66">
      <c r="A66" s="8"/>
      <c r="F66" s="18"/>
    </row>
    <row r="67">
      <c r="A67" s="8"/>
      <c r="F67" s="18"/>
    </row>
    <row r="68">
      <c r="A68" s="8"/>
      <c r="F68" s="18"/>
    </row>
    <row r="69">
      <c r="A69" s="8"/>
      <c r="F69" s="18"/>
    </row>
    <row r="70">
      <c r="A70" s="8"/>
      <c r="F70" s="18"/>
    </row>
    <row r="71">
      <c r="A71" s="8"/>
      <c r="F71" s="18"/>
    </row>
    <row r="72">
      <c r="A72" s="8"/>
      <c r="F72" s="18"/>
    </row>
    <row r="73">
      <c r="A73" s="8"/>
      <c r="F73" s="18"/>
    </row>
    <row r="74">
      <c r="A74" s="8"/>
      <c r="F74" s="18"/>
    </row>
    <row r="75">
      <c r="A75" s="8"/>
      <c r="F75" s="18"/>
    </row>
    <row r="76">
      <c r="A76" s="8"/>
      <c r="F76" s="18"/>
    </row>
    <row r="77">
      <c r="A77" s="8"/>
      <c r="F77" s="18"/>
    </row>
    <row r="78">
      <c r="A78" s="8"/>
      <c r="F78" s="18"/>
    </row>
    <row r="79">
      <c r="A79" s="8"/>
      <c r="F79" s="18"/>
    </row>
    <row r="80">
      <c r="A80" s="8"/>
      <c r="F80" s="18"/>
    </row>
    <row r="81">
      <c r="A81" s="8"/>
      <c r="F81" s="18"/>
    </row>
    <row r="82">
      <c r="A82" s="8"/>
      <c r="F82" s="18"/>
    </row>
    <row r="83">
      <c r="A83" s="8"/>
      <c r="F83" s="18"/>
    </row>
    <row r="84">
      <c r="A84" s="8"/>
      <c r="F84" s="18"/>
    </row>
    <row r="85">
      <c r="A85" s="8"/>
      <c r="F85" s="18"/>
    </row>
    <row r="86">
      <c r="A86" s="8"/>
      <c r="F86" s="18"/>
    </row>
    <row r="87">
      <c r="A87" s="8"/>
      <c r="F87" s="18"/>
    </row>
    <row r="88">
      <c r="A88" s="8"/>
      <c r="F88" s="18"/>
    </row>
    <row r="89">
      <c r="A89" s="8"/>
      <c r="F89" s="18"/>
    </row>
    <row r="90">
      <c r="A90" s="8"/>
      <c r="F90" s="18"/>
    </row>
    <row r="91">
      <c r="A91" s="8"/>
      <c r="F91" s="18"/>
    </row>
    <row r="92">
      <c r="A92" s="8"/>
      <c r="F92" s="18"/>
    </row>
    <row r="93">
      <c r="A93" s="8"/>
      <c r="F93" s="18"/>
    </row>
    <row r="94">
      <c r="A94" s="8"/>
      <c r="F94" s="18"/>
    </row>
    <row r="95">
      <c r="A95" s="8"/>
      <c r="F95" s="18"/>
    </row>
    <row r="96">
      <c r="A96" s="8"/>
      <c r="F96" s="18"/>
    </row>
    <row r="97">
      <c r="A97" s="8"/>
      <c r="F97" s="18"/>
    </row>
    <row r="98">
      <c r="A98" s="8"/>
      <c r="F98" s="18"/>
    </row>
    <row r="99">
      <c r="A99" s="8"/>
      <c r="F99" s="18"/>
    </row>
    <row r="100">
      <c r="A100" s="8"/>
      <c r="F100" s="18"/>
    </row>
    <row r="101">
      <c r="A101" s="8"/>
      <c r="F101" s="18"/>
    </row>
    <row r="102">
      <c r="A102" s="8"/>
      <c r="F102" s="18"/>
    </row>
    <row r="103">
      <c r="A103" s="8"/>
      <c r="F103" s="18"/>
    </row>
    <row r="104">
      <c r="A104" s="8"/>
      <c r="F104" s="18"/>
    </row>
    <row r="105">
      <c r="A105" s="8"/>
      <c r="F105" s="18"/>
    </row>
    <row r="106">
      <c r="A106" s="8"/>
      <c r="F106" s="18"/>
    </row>
    <row r="107">
      <c r="A107" s="8"/>
      <c r="F107" s="18"/>
    </row>
    <row r="108">
      <c r="A108" s="8"/>
      <c r="F108" s="18"/>
    </row>
    <row r="109">
      <c r="A109" s="8"/>
      <c r="F109" s="18"/>
    </row>
    <row r="110">
      <c r="A110" s="8"/>
      <c r="F110" s="18"/>
    </row>
    <row r="111">
      <c r="A111" s="8"/>
      <c r="F111" s="18"/>
    </row>
    <row r="112">
      <c r="A112" s="8"/>
      <c r="F112" s="18"/>
    </row>
    <row r="113">
      <c r="A113" s="8"/>
      <c r="F113" s="18"/>
    </row>
    <row r="114">
      <c r="A114" s="8"/>
      <c r="F114" s="18"/>
    </row>
    <row r="115">
      <c r="A115" s="8"/>
      <c r="F115" s="18"/>
    </row>
    <row r="116">
      <c r="A116" s="8"/>
      <c r="F116" s="18"/>
    </row>
    <row r="117">
      <c r="A117" s="8"/>
      <c r="F117" s="18"/>
    </row>
    <row r="118">
      <c r="A118" s="8"/>
      <c r="F118" s="18"/>
    </row>
    <row r="119">
      <c r="A119" s="8"/>
      <c r="F119" s="18"/>
    </row>
    <row r="120">
      <c r="A120" s="8"/>
      <c r="F120" s="18"/>
    </row>
    <row r="121">
      <c r="A121" s="8"/>
      <c r="F121" s="18"/>
    </row>
    <row r="122">
      <c r="A122" s="8"/>
      <c r="F122" s="18"/>
    </row>
    <row r="123">
      <c r="A123" s="8"/>
      <c r="F123" s="18"/>
    </row>
    <row r="124">
      <c r="A124" s="8"/>
      <c r="F124" s="18"/>
    </row>
    <row r="125">
      <c r="A125" s="8"/>
      <c r="F125" s="18"/>
    </row>
    <row r="126">
      <c r="A126" s="8"/>
      <c r="F126" s="18"/>
    </row>
    <row r="127">
      <c r="A127" s="8"/>
      <c r="F127" s="18"/>
    </row>
    <row r="128">
      <c r="A128" s="8"/>
      <c r="F128" s="18"/>
    </row>
    <row r="129">
      <c r="A129" s="8"/>
      <c r="F129" s="18"/>
    </row>
    <row r="130">
      <c r="A130" s="8"/>
      <c r="F130" s="18"/>
    </row>
    <row r="131">
      <c r="A131" s="8"/>
      <c r="F131" s="18"/>
    </row>
    <row r="132">
      <c r="A132" s="8"/>
      <c r="F132" s="18"/>
    </row>
    <row r="133">
      <c r="A133" s="8"/>
      <c r="F133" s="18"/>
    </row>
    <row r="134">
      <c r="A134" s="8"/>
      <c r="F134" s="18"/>
    </row>
    <row r="135">
      <c r="A135" s="8"/>
      <c r="F135" s="18"/>
    </row>
    <row r="136">
      <c r="A136" s="8"/>
      <c r="F136" s="18"/>
    </row>
    <row r="137">
      <c r="A137" s="8"/>
      <c r="F137" s="18"/>
    </row>
    <row r="138">
      <c r="A138" s="8"/>
      <c r="F138" s="18"/>
    </row>
    <row r="139">
      <c r="A139" s="8"/>
      <c r="F139" s="18"/>
    </row>
    <row r="140">
      <c r="A140" s="8"/>
      <c r="F140" s="18"/>
    </row>
    <row r="141">
      <c r="A141" s="8"/>
      <c r="F141" s="18"/>
    </row>
    <row r="142">
      <c r="A142" s="8"/>
      <c r="F142" s="18"/>
    </row>
    <row r="143">
      <c r="A143" s="8"/>
      <c r="F143" s="18"/>
    </row>
    <row r="144">
      <c r="A144" s="8"/>
      <c r="F144" s="18"/>
    </row>
    <row r="145">
      <c r="A145" s="8"/>
      <c r="F145" s="18"/>
    </row>
    <row r="146">
      <c r="A146" s="8"/>
      <c r="F146" s="18"/>
    </row>
    <row r="147">
      <c r="A147" s="8"/>
      <c r="F147" s="18"/>
    </row>
    <row r="148">
      <c r="A148" s="8"/>
      <c r="F148" s="18"/>
    </row>
    <row r="149">
      <c r="A149" s="8"/>
      <c r="F149" s="18"/>
    </row>
    <row r="150">
      <c r="A150" s="8"/>
      <c r="F150" s="18"/>
    </row>
    <row r="151">
      <c r="A151" s="8"/>
      <c r="F151" s="18"/>
    </row>
    <row r="152">
      <c r="A152" s="8"/>
      <c r="F152" s="18"/>
    </row>
    <row r="153">
      <c r="A153" s="8"/>
      <c r="F153" s="18"/>
    </row>
    <row r="154">
      <c r="A154" s="8"/>
      <c r="F154" s="18"/>
    </row>
    <row r="155">
      <c r="A155" s="8"/>
      <c r="F155" s="18"/>
    </row>
    <row r="156">
      <c r="A156" s="8"/>
      <c r="F156" s="18"/>
    </row>
    <row r="157">
      <c r="A157" s="8"/>
      <c r="F157" s="18"/>
    </row>
    <row r="158">
      <c r="A158" s="8"/>
      <c r="F158" s="18"/>
    </row>
    <row r="159">
      <c r="A159" s="8"/>
      <c r="F159" s="18"/>
    </row>
    <row r="160">
      <c r="A160" s="8"/>
      <c r="F160" s="18"/>
    </row>
    <row r="161">
      <c r="A161" s="8"/>
      <c r="F161" s="18"/>
    </row>
    <row r="162">
      <c r="A162" s="8"/>
      <c r="F162" s="18"/>
    </row>
    <row r="163">
      <c r="A163" s="8"/>
      <c r="F163" s="18"/>
    </row>
    <row r="164">
      <c r="A164" s="8"/>
      <c r="F164" s="18"/>
    </row>
    <row r="165">
      <c r="A165" s="8"/>
      <c r="F165" s="18"/>
    </row>
    <row r="166">
      <c r="A166" s="8"/>
      <c r="F166" s="18"/>
    </row>
    <row r="167">
      <c r="A167" s="8"/>
      <c r="F167" s="18"/>
    </row>
    <row r="168">
      <c r="A168" s="8"/>
      <c r="F168" s="18"/>
    </row>
    <row r="169">
      <c r="A169" s="8"/>
      <c r="F169" s="18"/>
    </row>
    <row r="170">
      <c r="A170" s="8"/>
      <c r="F170" s="18"/>
    </row>
    <row r="171">
      <c r="A171" s="8"/>
      <c r="F171" s="18"/>
    </row>
    <row r="172">
      <c r="A172" s="8"/>
      <c r="F172" s="18"/>
    </row>
    <row r="173">
      <c r="A173" s="8"/>
      <c r="F173" s="18"/>
    </row>
    <row r="174">
      <c r="A174" s="8"/>
      <c r="F174" s="18"/>
    </row>
    <row r="175">
      <c r="A175" s="8"/>
      <c r="F175" s="18"/>
    </row>
    <row r="176">
      <c r="A176" s="8"/>
      <c r="F176" s="18"/>
    </row>
    <row r="177">
      <c r="A177" s="8"/>
      <c r="F177" s="18"/>
    </row>
    <row r="178">
      <c r="A178" s="8"/>
      <c r="F178" s="18"/>
    </row>
    <row r="179">
      <c r="A179" s="8"/>
      <c r="F179" s="18"/>
    </row>
    <row r="180">
      <c r="A180" s="8"/>
      <c r="F180" s="18"/>
    </row>
    <row r="181">
      <c r="A181" s="8"/>
      <c r="F181" s="18"/>
    </row>
    <row r="182">
      <c r="A182" s="8"/>
      <c r="F182" s="18"/>
    </row>
    <row r="183">
      <c r="A183" s="8"/>
      <c r="F183" s="18"/>
    </row>
    <row r="184">
      <c r="A184" s="8"/>
      <c r="F184" s="18"/>
    </row>
    <row r="185">
      <c r="A185" s="8"/>
      <c r="F185" s="18"/>
    </row>
    <row r="186">
      <c r="A186" s="8"/>
      <c r="F186" s="18"/>
    </row>
    <row r="187">
      <c r="A187" s="8"/>
      <c r="F187" s="18"/>
    </row>
    <row r="188">
      <c r="A188" s="8"/>
      <c r="F188" s="18"/>
    </row>
    <row r="189">
      <c r="A189" s="8"/>
      <c r="F189" s="18"/>
    </row>
    <row r="190">
      <c r="A190" s="8"/>
      <c r="F190" s="18"/>
    </row>
    <row r="191">
      <c r="A191" s="8"/>
      <c r="F191" s="18"/>
    </row>
    <row r="192">
      <c r="A192" s="8"/>
      <c r="F192" s="18"/>
    </row>
    <row r="193">
      <c r="A193" s="8"/>
      <c r="F193" s="18"/>
    </row>
    <row r="194">
      <c r="A194" s="8"/>
      <c r="F194" s="18"/>
    </row>
    <row r="195">
      <c r="A195" s="8"/>
      <c r="F195" s="18"/>
    </row>
    <row r="196">
      <c r="A196" s="8"/>
      <c r="F196" s="18"/>
    </row>
    <row r="197">
      <c r="A197" s="8"/>
      <c r="F197" s="18"/>
    </row>
    <row r="198">
      <c r="A198" s="8"/>
      <c r="F198" s="18"/>
    </row>
    <row r="199">
      <c r="A199" s="8"/>
      <c r="F199" s="18"/>
    </row>
    <row r="200">
      <c r="A200" s="8"/>
      <c r="F200" s="18"/>
    </row>
    <row r="201">
      <c r="A201" s="8"/>
      <c r="F201" s="18"/>
    </row>
    <row r="202">
      <c r="A202" s="8"/>
      <c r="F202" s="18"/>
    </row>
    <row r="203">
      <c r="A203" s="8"/>
      <c r="F203" s="18"/>
    </row>
    <row r="204">
      <c r="A204" s="8"/>
      <c r="F204" s="18"/>
    </row>
    <row r="205">
      <c r="A205" s="8"/>
      <c r="F205" s="18"/>
    </row>
    <row r="206">
      <c r="A206" s="8"/>
      <c r="F206" s="18"/>
    </row>
    <row r="207">
      <c r="A207" s="8"/>
      <c r="F207" s="18"/>
    </row>
    <row r="208">
      <c r="A208" s="8"/>
      <c r="F208" s="18"/>
    </row>
    <row r="209">
      <c r="A209" s="8"/>
      <c r="F209" s="18"/>
    </row>
    <row r="210">
      <c r="A210" s="8"/>
      <c r="F210" s="18"/>
    </row>
    <row r="211">
      <c r="A211" s="8"/>
      <c r="F211" s="18"/>
    </row>
    <row r="212">
      <c r="A212" s="8"/>
      <c r="F212" s="18"/>
    </row>
    <row r="213">
      <c r="A213" s="8"/>
      <c r="F213" s="18"/>
    </row>
    <row r="214">
      <c r="A214" s="8"/>
      <c r="F214" s="18"/>
    </row>
    <row r="215">
      <c r="A215" s="8"/>
      <c r="F215" s="18"/>
    </row>
    <row r="216">
      <c r="A216" s="8"/>
      <c r="F216" s="18"/>
    </row>
    <row r="217">
      <c r="A217" s="8"/>
      <c r="F217" s="18"/>
    </row>
    <row r="218">
      <c r="A218" s="8"/>
      <c r="F218" s="18"/>
    </row>
    <row r="219">
      <c r="A219" s="8"/>
      <c r="F219" s="18"/>
    </row>
    <row r="220">
      <c r="A220" s="8"/>
      <c r="F220" s="18"/>
    </row>
    <row r="221">
      <c r="A221" s="8"/>
      <c r="F221" s="18"/>
    </row>
    <row r="222">
      <c r="A222" s="8"/>
      <c r="F222" s="18"/>
    </row>
    <row r="223">
      <c r="A223" s="8"/>
      <c r="F223" s="18"/>
    </row>
    <row r="224">
      <c r="A224" s="8"/>
      <c r="F224" s="18"/>
    </row>
    <row r="225">
      <c r="A225" s="8"/>
      <c r="F225" s="18"/>
    </row>
    <row r="226">
      <c r="A226" s="8"/>
      <c r="F226" s="18"/>
    </row>
    <row r="227">
      <c r="A227" s="8"/>
      <c r="F227" s="18"/>
    </row>
    <row r="228">
      <c r="A228" s="8"/>
      <c r="F228" s="18"/>
    </row>
    <row r="229">
      <c r="A229" s="8"/>
      <c r="F229" s="18"/>
    </row>
    <row r="230">
      <c r="A230" s="8"/>
      <c r="F230" s="18"/>
    </row>
    <row r="231">
      <c r="A231" s="8"/>
      <c r="F231" s="18"/>
    </row>
    <row r="232">
      <c r="A232" s="8"/>
      <c r="F232" s="18"/>
    </row>
    <row r="233">
      <c r="A233" s="8"/>
      <c r="F233" s="18"/>
    </row>
    <row r="234">
      <c r="A234" s="8"/>
      <c r="F234" s="18"/>
    </row>
    <row r="235">
      <c r="A235" s="8"/>
      <c r="F235" s="18"/>
    </row>
    <row r="236">
      <c r="A236" s="8"/>
      <c r="F236" s="18"/>
    </row>
    <row r="237">
      <c r="A237" s="8"/>
      <c r="F237" s="18"/>
    </row>
    <row r="238">
      <c r="A238" s="8"/>
      <c r="F238" s="18"/>
    </row>
    <row r="239">
      <c r="A239" s="8"/>
      <c r="F239" s="18"/>
    </row>
    <row r="240">
      <c r="A240" s="8"/>
      <c r="F240" s="18"/>
    </row>
    <row r="241">
      <c r="A241" s="8"/>
      <c r="F241" s="18"/>
    </row>
    <row r="242">
      <c r="A242" s="8"/>
      <c r="F242" s="18"/>
    </row>
    <row r="243">
      <c r="A243" s="8"/>
      <c r="F243" s="18"/>
    </row>
    <row r="244">
      <c r="A244" s="8"/>
      <c r="F244" s="18"/>
    </row>
    <row r="245">
      <c r="A245" s="8"/>
      <c r="F245" s="18"/>
    </row>
    <row r="246">
      <c r="A246" s="8"/>
      <c r="F246" s="18"/>
    </row>
    <row r="247">
      <c r="A247" s="8"/>
      <c r="F247" s="18"/>
    </row>
    <row r="248">
      <c r="A248" s="8"/>
      <c r="F248" s="18"/>
    </row>
    <row r="249">
      <c r="A249" s="8"/>
      <c r="F249" s="18"/>
    </row>
    <row r="250">
      <c r="A250" s="8"/>
      <c r="F250" s="18"/>
    </row>
    <row r="251">
      <c r="A251" s="8"/>
      <c r="F251" s="18"/>
    </row>
    <row r="252">
      <c r="A252" s="8"/>
      <c r="F252" s="18"/>
    </row>
    <row r="253">
      <c r="A253" s="8"/>
      <c r="F253" s="18"/>
    </row>
    <row r="254">
      <c r="A254" s="8"/>
      <c r="F254" s="18"/>
    </row>
    <row r="255">
      <c r="A255" s="8"/>
      <c r="F255" s="18"/>
    </row>
    <row r="256">
      <c r="A256" s="8"/>
      <c r="F256" s="18"/>
    </row>
    <row r="257">
      <c r="A257" s="8"/>
      <c r="F257" s="18"/>
    </row>
    <row r="258">
      <c r="A258" s="8"/>
      <c r="F258" s="18"/>
    </row>
    <row r="259">
      <c r="A259" s="8"/>
      <c r="F259" s="18"/>
    </row>
    <row r="260">
      <c r="A260" s="8"/>
      <c r="F260" s="18"/>
    </row>
    <row r="261">
      <c r="A261" s="8"/>
      <c r="F261" s="18"/>
    </row>
    <row r="262">
      <c r="A262" s="8"/>
      <c r="F262" s="18"/>
    </row>
    <row r="263">
      <c r="A263" s="8"/>
      <c r="F263" s="18"/>
    </row>
    <row r="264">
      <c r="A264" s="8"/>
      <c r="F264" s="18"/>
    </row>
    <row r="265">
      <c r="A265" s="8"/>
      <c r="F265" s="18"/>
    </row>
    <row r="266">
      <c r="A266" s="8"/>
      <c r="F266" s="18"/>
    </row>
    <row r="267">
      <c r="A267" s="8"/>
      <c r="F267" s="18"/>
    </row>
    <row r="268">
      <c r="A268" s="8"/>
      <c r="F268" s="18"/>
    </row>
    <row r="269">
      <c r="A269" s="8"/>
      <c r="F269" s="18"/>
    </row>
    <row r="270">
      <c r="A270" s="8"/>
      <c r="F270" s="18"/>
    </row>
    <row r="271">
      <c r="A271" s="8"/>
      <c r="F271" s="18"/>
    </row>
    <row r="272">
      <c r="A272" s="8"/>
      <c r="F272" s="18"/>
    </row>
    <row r="273">
      <c r="A273" s="8"/>
      <c r="F273" s="18"/>
    </row>
    <row r="274">
      <c r="A274" s="8"/>
      <c r="F274" s="18"/>
    </row>
    <row r="275">
      <c r="A275" s="8"/>
      <c r="F275" s="18"/>
    </row>
    <row r="276">
      <c r="A276" s="8"/>
      <c r="F276" s="18"/>
    </row>
    <row r="277">
      <c r="A277" s="8"/>
      <c r="F277" s="18"/>
    </row>
    <row r="278">
      <c r="A278" s="8"/>
      <c r="F278" s="18"/>
    </row>
    <row r="279">
      <c r="A279" s="8"/>
      <c r="F279" s="18"/>
    </row>
    <row r="280">
      <c r="A280" s="8"/>
      <c r="F280" s="18"/>
    </row>
    <row r="281">
      <c r="A281" s="8"/>
      <c r="F281" s="18"/>
    </row>
    <row r="282">
      <c r="A282" s="8"/>
      <c r="F282" s="18"/>
    </row>
    <row r="283">
      <c r="A283" s="8"/>
      <c r="F283" s="18"/>
    </row>
    <row r="284">
      <c r="A284" s="8"/>
      <c r="F284" s="18"/>
    </row>
    <row r="285">
      <c r="A285" s="8"/>
      <c r="F285" s="18"/>
    </row>
    <row r="286">
      <c r="A286" s="8"/>
      <c r="F286" s="18"/>
    </row>
    <row r="287">
      <c r="A287" s="8"/>
      <c r="F287" s="18"/>
    </row>
    <row r="288">
      <c r="A288" s="8"/>
      <c r="F288" s="18"/>
    </row>
    <row r="289">
      <c r="A289" s="8"/>
      <c r="F289" s="18"/>
    </row>
    <row r="290">
      <c r="A290" s="8"/>
      <c r="F290" s="18"/>
    </row>
    <row r="291">
      <c r="A291" s="8"/>
      <c r="F291" s="18"/>
    </row>
    <row r="292">
      <c r="A292" s="8"/>
      <c r="F292" s="18"/>
    </row>
    <row r="293">
      <c r="A293" s="8"/>
      <c r="F293" s="18"/>
    </row>
    <row r="294">
      <c r="A294" s="8"/>
      <c r="F294" s="18"/>
    </row>
    <row r="295">
      <c r="A295" s="8"/>
      <c r="F295" s="18"/>
    </row>
    <row r="296">
      <c r="A296" s="8"/>
      <c r="F296" s="18"/>
    </row>
    <row r="297">
      <c r="A297" s="8"/>
      <c r="F297" s="18"/>
    </row>
    <row r="298">
      <c r="A298" s="8"/>
      <c r="F298" s="18"/>
    </row>
    <row r="299">
      <c r="A299" s="8"/>
      <c r="F299" s="18"/>
    </row>
    <row r="300">
      <c r="A300" s="8"/>
      <c r="F300" s="18"/>
    </row>
    <row r="301">
      <c r="A301" s="8"/>
      <c r="F301" s="18"/>
    </row>
    <row r="302">
      <c r="A302" s="8"/>
      <c r="F302" s="18"/>
    </row>
    <row r="303">
      <c r="A303" s="8"/>
      <c r="F303" s="18"/>
    </row>
    <row r="304">
      <c r="A304" s="8"/>
      <c r="F304" s="18"/>
    </row>
    <row r="305">
      <c r="A305" s="8"/>
      <c r="F305" s="18"/>
    </row>
    <row r="306">
      <c r="A306" s="8"/>
      <c r="F306" s="18"/>
    </row>
    <row r="307">
      <c r="A307" s="8"/>
      <c r="F307" s="18"/>
    </row>
    <row r="308">
      <c r="A308" s="8"/>
      <c r="F308" s="18"/>
    </row>
    <row r="309">
      <c r="A309" s="8"/>
      <c r="F309" s="18"/>
    </row>
    <row r="310">
      <c r="A310" s="8"/>
      <c r="F310" s="18"/>
    </row>
    <row r="311">
      <c r="A311" s="8"/>
      <c r="F311" s="18"/>
    </row>
    <row r="312">
      <c r="A312" s="8"/>
      <c r="F312" s="18"/>
    </row>
    <row r="313">
      <c r="A313" s="8"/>
      <c r="F313" s="18"/>
    </row>
    <row r="314">
      <c r="A314" s="8"/>
      <c r="F314" s="18"/>
    </row>
    <row r="315">
      <c r="A315" s="8"/>
      <c r="F315" s="18"/>
    </row>
    <row r="316">
      <c r="A316" s="8"/>
      <c r="F316" s="18"/>
    </row>
    <row r="317">
      <c r="A317" s="8"/>
      <c r="F317" s="18"/>
    </row>
    <row r="318">
      <c r="A318" s="8"/>
      <c r="F318" s="18"/>
    </row>
    <row r="319">
      <c r="A319" s="8"/>
      <c r="F319" s="18"/>
    </row>
    <row r="320">
      <c r="A320" s="8"/>
      <c r="F320" s="18"/>
    </row>
    <row r="321">
      <c r="A321" s="8"/>
      <c r="F321" s="18"/>
    </row>
    <row r="322">
      <c r="A322" s="8"/>
      <c r="F322" s="18"/>
    </row>
    <row r="323">
      <c r="A323" s="8"/>
      <c r="F323" s="18"/>
    </row>
    <row r="324">
      <c r="A324" s="8"/>
      <c r="F324" s="18"/>
    </row>
    <row r="325">
      <c r="A325" s="8"/>
      <c r="F325" s="18"/>
    </row>
    <row r="326">
      <c r="A326" s="8"/>
      <c r="F326" s="18"/>
    </row>
    <row r="327">
      <c r="A327" s="8"/>
      <c r="F327" s="18"/>
    </row>
    <row r="328">
      <c r="A328" s="8"/>
      <c r="F328" s="18"/>
    </row>
    <row r="329">
      <c r="A329" s="8"/>
      <c r="F329" s="18"/>
    </row>
    <row r="330">
      <c r="A330" s="8"/>
      <c r="F330" s="18"/>
    </row>
    <row r="331">
      <c r="A331" s="8"/>
      <c r="F331" s="18"/>
    </row>
    <row r="332">
      <c r="A332" s="8"/>
      <c r="F332" s="18"/>
    </row>
    <row r="333">
      <c r="A333" s="8"/>
      <c r="F333" s="18"/>
    </row>
    <row r="334">
      <c r="A334" s="8"/>
      <c r="F334" s="18"/>
    </row>
    <row r="335">
      <c r="A335" s="8"/>
      <c r="F335" s="18"/>
    </row>
    <row r="336">
      <c r="A336" s="8"/>
      <c r="F336" s="18"/>
    </row>
    <row r="337">
      <c r="A337" s="8"/>
      <c r="F337" s="18"/>
    </row>
    <row r="338">
      <c r="A338" s="8"/>
      <c r="F338" s="18"/>
    </row>
    <row r="339">
      <c r="A339" s="8"/>
      <c r="F339" s="18"/>
    </row>
    <row r="340">
      <c r="A340" s="8"/>
      <c r="F340" s="18"/>
    </row>
    <row r="341">
      <c r="A341" s="8"/>
      <c r="F341" s="18"/>
    </row>
    <row r="342">
      <c r="A342" s="8"/>
      <c r="F342" s="18"/>
    </row>
    <row r="343">
      <c r="A343" s="8"/>
      <c r="F343" s="18"/>
    </row>
    <row r="344">
      <c r="A344" s="8"/>
      <c r="F344" s="18"/>
    </row>
    <row r="345">
      <c r="A345" s="8"/>
      <c r="F345" s="18"/>
    </row>
    <row r="346">
      <c r="A346" s="8"/>
      <c r="F346" s="18"/>
    </row>
    <row r="347">
      <c r="A347" s="8"/>
      <c r="F347" s="18"/>
    </row>
    <row r="348">
      <c r="A348" s="8"/>
      <c r="F348" s="18"/>
    </row>
    <row r="349">
      <c r="A349" s="8"/>
      <c r="F349" s="18"/>
    </row>
    <row r="350">
      <c r="A350" s="8"/>
      <c r="F350" s="18"/>
    </row>
    <row r="351">
      <c r="A351" s="8"/>
      <c r="F351" s="18"/>
    </row>
    <row r="352">
      <c r="A352" s="8"/>
      <c r="F352" s="18"/>
    </row>
    <row r="353">
      <c r="A353" s="8"/>
      <c r="F353" s="18"/>
    </row>
    <row r="354">
      <c r="A354" s="8"/>
      <c r="F354" s="18"/>
    </row>
    <row r="355">
      <c r="A355" s="8"/>
      <c r="F355" s="18"/>
    </row>
    <row r="356">
      <c r="A356" s="8"/>
      <c r="F356" s="18"/>
    </row>
    <row r="357">
      <c r="A357" s="8"/>
      <c r="F357" s="18"/>
    </row>
    <row r="358">
      <c r="A358" s="8"/>
      <c r="F358" s="18"/>
    </row>
    <row r="359">
      <c r="A359" s="8"/>
      <c r="F359" s="18"/>
    </row>
    <row r="360">
      <c r="A360" s="8"/>
      <c r="F360" s="18"/>
    </row>
    <row r="361">
      <c r="A361" s="8"/>
      <c r="F361" s="18"/>
    </row>
    <row r="362">
      <c r="A362" s="8"/>
      <c r="F362" s="18"/>
    </row>
    <row r="363">
      <c r="A363" s="8"/>
      <c r="F363" s="18"/>
    </row>
    <row r="364">
      <c r="A364" s="8"/>
      <c r="F364" s="18"/>
    </row>
    <row r="365">
      <c r="A365" s="8"/>
      <c r="F365" s="18"/>
    </row>
    <row r="366">
      <c r="A366" s="8"/>
      <c r="F366" s="18"/>
    </row>
    <row r="367">
      <c r="A367" s="8"/>
      <c r="F367" s="18"/>
    </row>
    <row r="368">
      <c r="A368" s="8"/>
      <c r="F368" s="18"/>
    </row>
    <row r="369">
      <c r="A369" s="8"/>
      <c r="F369" s="18"/>
    </row>
    <row r="370">
      <c r="A370" s="8"/>
      <c r="F370" s="18"/>
    </row>
    <row r="371">
      <c r="A371" s="8"/>
      <c r="F371" s="18"/>
    </row>
    <row r="372">
      <c r="A372" s="8"/>
      <c r="F372" s="18"/>
    </row>
    <row r="373">
      <c r="A373" s="8"/>
      <c r="F373" s="18"/>
    </row>
    <row r="374">
      <c r="A374" s="8"/>
      <c r="F374" s="18"/>
    </row>
    <row r="375">
      <c r="A375" s="8"/>
      <c r="F375" s="18"/>
    </row>
    <row r="376">
      <c r="A376" s="8"/>
      <c r="F376" s="18"/>
    </row>
    <row r="377">
      <c r="A377" s="8"/>
      <c r="F377" s="18"/>
    </row>
    <row r="378">
      <c r="A378" s="8"/>
      <c r="F378" s="18"/>
    </row>
    <row r="379">
      <c r="A379" s="8"/>
      <c r="F379" s="18"/>
    </row>
    <row r="380">
      <c r="A380" s="8"/>
      <c r="F380" s="18"/>
    </row>
    <row r="381">
      <c r="A381" s="8"/>
      <c r="F381" s="18"/>
    </row>
    <row r="382">
      <c r="A382" s="8"/>
      <c r="F382" s="18"/>
    </row>
    <row r="383">
      <c r="A383" s="8"/>
      <c r="F383" s="18"/>
    </row>
    <row r="384">
      <c r="A384" s="8"/>
      <c r="F384" s="18"/>
    </row>
    <row r="385">
      <c r="A385" s="8"/>
      <c r="F385" s="18"/>
    </row>
    <row r="386">
      <c r="A386" s="8"/>
      <c r="F386" s="18"/>
    </row>
    <row r="387">
      <c r="A387" s="8"/>
      <c r="F387" s="18"/>
    </row>
    <row r="388">
      <c r="A388" s="8"/>
      <c r="F388" s="18"/>
    </row>
    <row r="389">
      <c r="A389" s="8"/>
      <c r="F389" s="18"/>
    </row>
    <row r="390">
      <c r="A390" s="8"/>
      <c r="F390" s="18"/>
    </row>
    <row r="391">
      <c r="A391" s="8"/>
      <c r="F391" s="18"/>
    </row>
    <row r="392">
      <c r="A392" s="8"/>
      <c r="F392" s="18"/>
    </row>
    <row r="393">
      <c r="A393" s="8"/>
      <c r="F393" s="18"/>
    </row>
    <row r="394">
      <c r="A394" s="8"/>
      <c r="F394" s="18"/>
    </row>
    <row r="395">
      <c r="A395" s="8"/>
      <c r="F395" s="18"/>
    </row>
    <row r="396">
      <c r="A396" s="8"/>
      <c r="F396" s="18"/>
    </row>
    <row r="397">
      <c r="A397" s="8"/>
      <c r="F397" s="18"/>
    </row>
    <row r="398">
      <c r="A398" s="8"/>
      <c r="F398" s="18"/>
    </row>
    <row r="399">
      <c r="A399" s="8"/>
      <c r="F399" s="18"/>
    </row>
    <row r="400">
      <c r="A400" s="8"/>
      <c r="F400" s="18"/>
    </row>
    <row r="401">
      <c r="A401" s="8"/>
      <c r="F401" s="18"/>
    </row>
    <row r="402">
      <c r="A402" s="8"/>
      <c r="F402" s="18"/>
    </row>
    <row r="403">
      <c r="A403" s="8"/>
      <c r="F403" s="18"/>
    </row>
    <row r="404">
      <c r="A404" s="8"/>
      <c r="F404" s="18"/>
    </row>
    <row r="405">
      <c r="A405" s="8"/>
      <c r="F405" s="18"/>
    </row>
    <row r="406">
      <c r="A406" s="8"/>
      <c r="F406" s="18"/>
    </row>
    <row r="407">
      <c r="A407" s="8"/>
      <c r="F407" s="18"/>
    </row>
    <row r="408">
      <c r="A408" s="8"/>
      <c r="F408" s="18"/>
    </row>
    <row r="409">
      <c r="A409" s="8"/>
      <c r="F409" s="18"/>
    </row>
    <row r="410">
      <c r="A410" s="8"/>
      <c r="F410" s="18"/>
    </row>
    <row r="411">
      <c r="A411" s="8"/>
      <c r="F411" s="18"/>
    </row>
    <row r="412">
      <c r="A412" s="8"/>
      <c r="F412" s="18"/>
    </row>
    <row r="413">
      <c r="A413" s="8"/>
      <c r="F413" s="18"/>
    </row>
    <row r="414">
      <c r="A414" s="8"/>
      <c r="F414" s="18"/>
    </row>
    <row r="415">
      <c r="A415" s="8"/>
      <c r="F415" s="18"/>
    </row>
    <row r="416">
      <c r="A416" s="8"/>
      <c r="F416" s="18"/>
    </row>
    <row r="417">
      <c r="A417" s="8"/>
      <c r="F417" s="18"/>
    </row>
    <row r="418">
      <c r="A418" s="8"/>
      <c r="F418" s="18"/>
    </row>
    <row r="419">
      <c r="A419" s="8"/>
      <c r="F419" s="18"/>
    </row>
    <row r="420">
      <c r="A420" s="8"/>
      <c r="F420" s="18"/>
    </row>
    <row r="421">
      <c r="A421" s="8"/>
      <c r="F421" s="18"/>
    </row>
    <row r="422">
      <c r="A422" s="8"/>
      <c r="F422" s="18"/>
    </row>
    <row r="423">
      <c r="A423" s="8"/>
      <c r="F423" s="18"/>
    </row>
    <row r="424">
      <c r="A424" s="8"/>
      <c r="F424" s="18"/>
    </row>
    <row r="425">
      <c r="A425" s="8"/>
      <c r="F425" s="18"/>
    </row>
    <row r="426">
      <c r="A426" s="8"/>
      <c r="F426" s="18"/>
    </row>
    <row r="427">
      <c r="A427" s="8"/>
      <c r="F427" s="18"/>
    </row>
    <row r="428">
      <c r="A428" s="8"/>
      <c r="F428" s="18"/>
    </row>
    <row r="429">
      <c r="A429" s="8"/>
      <c r="F429" s="18"/>
    </row>
    <row r="430">
      <c r="A430" s="8"/>
      <c r="F430" s="18"/>
    </row>
    <row r="431">
      <c r="A431" s="8"/>
      <c r="F431" s="18"/>
    </row>
    <row r="432">
      <c r="A432" s="8"/>
      <c r="F432" s="18"/>
    </row>
    <row r="433">
      <c r="A433" s="8"/>
      <c r="F433" s="18"/>
    </row>
    <row r="434">
      <c r="A434" s="8"/>
      <c r="F434" s="18"/>
    </row>
    <row r="435">
      <c r="A435" s="8"/>
      <c r="F435" s="18"/>
    </row>
    <row r="436">
      <c r="A436" s="8"/>
      <c r="F436" s="18"/>
    </row>
    <row r="437">
      <c r="A437" s="8"/>
      <c r="F437" s="18"/>
    </row>
    <row r="438">
      <c r="A438" s="8"/>
      <c r="F438" s="18"/>
    </row>
    <row r="439">
      <c r="A439" s="8"/>
      <c r="F439" s="18"/>
    </row>
    <row r="440">
      <c r="A440" s="8"/>
      <c r="F440" s="18"/>
    </row>
    <row r="441">
      <c r="A441" s="8"/>
      <c r="F441" s="18"/>
    </row>
    <row r="442">
      <c r="A442" s="8"/>
      <c r="F442" s="18"/>
    </row>
    <row r="443">
      <c r="A443" s="8"/>
      <c r="F443" s="18"/>
    </row>
    <row r="444">
      <c r="A444" s="8"/>
      <c r="F444" s="18"/>
    </row>
    <row r="445">
      <c r="A445" s="8"/>
      <c r="F445" s="18"/>
    </row>
    <row r="446">
      <c r="A446" s="8"/>
      <c r="F446" s="18"/>
    </row>
    <row r="447">
      <c r="A447" s="8"/>
      <c r="F447" s="18"/>
    </row>
    <row r="448">
      <c r="A448" s="8"/>
      <c r="F448" s="18"/>
    </row>
    <row r="449">
      <c r="A449" s="8"/>
      <c r="F449" s="18"/>
    </row>
    <row r="450">
      <c r="A450" s="8"/>
      <c r="F450" s="18"/>
    </row>
    <row r="451">
      <c r="A451" s="8"/>
      <c r="F451" s="18"/>
    </row>
    <row r="452">
      <c r="A452" s="8"/>
      <c r="F452" s="18"/>
    </row>
    <row r="453">
      <c r="A453" s="8"/>
      <c r="F453" s="18"/>
    </row>
    <row r="454">
      <c r="A454" s="8"/>
      <c r="F454" s="18"/>
    </row>
    <row r="455">
      <c r="A455" s="8"/>
      <c r="F455" s="18"/>
    </row>
    <row r="456">
      <c r="A456" s="8"/>
      <c r="F456" s="18"/>
    </row>
    <row r="457">
      <c r="A457" s="8"/>
      <c r="F457" s="18"/>
    </row>
    <row r="458">
      <c r="A458" s="8"/>
      <c r="F458" s="18"/>
    </row>
    <row r="459">
      <c r="A459" s="8"/>
      <c r="F459" s="18"/>
    </row>
    <row r="460">
      <c r="A460" s="8"/>
      <c r="F460" s="18"/>
    </row>
    <row r="461">
      <c r="A461" s="8"/>
      <c r="F461" s="18"/>
    </row>
    <row r="462">
      <c r="A462" s="8"/>
      <c r="F462" s="18"/>
    </row>
    <row r="463">
      <c r="A463" s="8"/>
      <c r="F463" s="18"/>
    </row>
    <row r="464">
      <c r="A464" s="8"/>
      <c r="F464" s="18"/>
    </row>
    <row r="465">
      <c r="A465" s="8"/>
      <c r="F465" s="18"/>
    </row>
    <row r="466">
      <c r="A466" s="8"/>
      <c r="F466" s="18"/>
    </row>
    <row r="467">
      <c r="A467" s="8"/>
      <c r="F467" s="18"/>
    </row>
    <row r="468">
      <c r="A468" s="8"/>
      <c r="F468" s="18"/>
    </row>
    <row r="469">
      <c r="A469" s="8"/>
      <c r="F469" s="18"/>
    </row>
    <row r="470">
      <c r="A470" s="8"/>
      <c r="F470" s="18"/>
    </row>
    <row r="471">
      <c r="A471" s="8"/>
      <c r="F471" s="18"/>
    </row>
    <row r="472">
      <c r="A472" s="8"/>
      <c r="F472" s="18"/>
    </row>
    <row r="473">
      <c r="A473" s="8"/>
      <c r="F473" s="18"/>
    </row>
    <row r="474">
      <c r="A474" s="8"/>
      <c r="F474" s="18"/>
    </row>
    <row r="475">
      <c r="A475" s="8"/>
      <c r="F475" s="18"/>
    </row>
    <row r="476">
      <c r="A476" s="8"/>
      <c r="F476" s="18"/>
    </row>
    <row r="477">
      <c r="A477" s="8"/>
      <c r="F477" s="18"/>
    </row>
    <row r="478">
      <c r="A478" s="8"/>
      <c r="F478" s="18"/>
    </row>
    <row r="479">
      <c r="A479" s="8"/>
      <c r="F479" s="18"/>
    </row>
    <row r="480">
      <c r="A480" s="8"/>
      <c r="F480" s="18"/>
    </row>
    <row r="481">
      <c r="A481" s="8"/>
      <c r="F481" s="18"/>
    </row>
    <row r="482">
      <c r="A482" s="8"/>
      <c r="F482" s="18"/>
    </row>
    <row r="483">
      <c r="A483" s="8"/>
      <c r="F483" s="18"/>
    </row>
    <row r="484">
      <c r="A484" s="8"/>
      <c r="F484" s="18"/>
    </row>
    <row r="485">
      <c r="A485" s="8"/>
      <c r="F485" s="18"/>
    </row>
    <row r="486">
      <c r="A486" s="8"/>
      <c r="F486" s="18"/>
    </row>
    <row r="487">
      <c r="A487" s="8"/>
      <c r="F487" s="18"/>
    </row>
    <row r="488">
      <c r="A488" s="8"/>
      <c r="F488" s="18"/>
    </row>
    <row r="489">
      <c r="A489" s="8"/>
      <c r="F489" s="18"/>
    </row>
    <row r="490">
      <c r="A490" s="8"/>
      <c r="F490" s="18"/>
    </row>
    <row r="491">
      <c r="A491" s="8"/>
      <c r="F491" s="18"/>
    </row>
    <row r="492">
      <c r="A492" s="8"/>
      <c r="F492" s="18"/>
    </row>
    <row r="493">
      <c r="A493" s="8"/>
      <c r="F493" s="18"/>
    </row>
    <row r="494">
      <c r="A494" s="8"/>
      <c r="F494" s="18"/>
    </row>
    <row r="495">
      <c r="A495" s="8"/>
      <c r="F495" s="18"/>
    </row>
    <row r="496">
      <c r="A496" s="8"/>
      <c r="F496" s="18"/>
    </row>
    <row r="497">
      <c r="A497" s="8"/>
      <c r="F497" s="18"/>
    </row>
    <row r="498">
      <c r="A498" s="8"/>
      <c r="F498" s="18"/>
    </row>
    <row r="499">
      <c r="A499" s="8"/>
      <c r="F499" s="18"/>
    </row>
    <row r="500">
      <c r="A500" s="8"/>
      <c r="F500" s="18"/>
    </row>
    <row r="501">
      <c r="A501" s="8"/>
      <c r="F501" s="18"/>
    </row>
    <row r="502">
      <c r="A502" s="8"/>
      <c r="F502" s="18"/>
    </row>
    <row r="503">
      <c r="A503" s="8"/>
      <c r="F503" s="18"/>
    </row>
    <row r="504">
      <c r="A504" s="8"/>
      <c r="F504" s="18"/>
    </row>
    <row r="505">
      <c r="A505" s="8"/>
      <c r="F505" s="18"/>
    </row>
    <row r="506">
      <c r="A506" s="8"/>
      <c r="F506" s="18"/>
    </row>
    <row r="507">
      <c r="A507" s="8"/>
      <c r="F507" s="18"/>
    </row>
    <row r="508">
      <c r="A508" s="8"/>
      <c r="F508" s="18"/>
    </row>
    <row r="509">
      <c r="A509" s="8"/>
      <c r="F509" s="18"/>
    </row>
    <row r="510">
      <c r="A510" s="8"/>
      <c r="F510" s="18"/>
    </row>
    <row r="511">
      <c r="A511" s="8"/>
      <c r="F511" s="18"/>
    </row>
    <row r="512">
      <c r="A512" s="8"/>
      <c r="F512" s="18"/>
    </row>
    <row r="513">
      <c r="A513" s="8"/>
      <c r="F513" s="18"/>
    </row>
    <row r="514">
      <c r="A514" s="8"/>
      <c r="F514" s="18"/>
    </row>
    <row r="515">
      <c r="A515" s="8"/>
      <c r="F515" s="18"/>
    </row>
    <row r="516">
      <c r="A516" s="8"/>
      <c r="F516" s="18"/>
    </row>
    <row r="517">
      <c r="A517" s="8"/>
      <c r="F517" s="18"/>
    </row>
    <row r="518">
      <c r="A518" s="8"/>
      <c r="F518" s="18"/>
    </row>
    <row r="519">
      <c r="A519" s="8"/>
      <c r="F519" s="18"/>
    </row>
    <row r="520">
      <c r="A520" s="8"/>
      <c r="F520" s="18"/>
    </row>
    <row r="521">
      <c r="A521" s="8"/>
      <c r="F521" s="18"/>
    </row>
    <row r="522">
      <c r="A522" s="8"/>
      <c r="F522" s="18"/>
    </row>
    <row r="523">
      <c r="A523" s="8"/>
      <c r="F523" s="18"/>
    </row>
    <row r="524">
      <c r="A524" s="8"/>
      <c r="F524" s="18"/>
    </row>
    <row r="525">
      <c r="A525" s="8"/>
      <c r="F525" s="18"/>
    </row>
    <row r="526">
      <c r="A526" s="8"/>
      <c r="F526" s="18"/>
    </row>
    <row r="527">
      <c r="A527" s="8"/>
      <c r="F527" s="18"/>
    </row>
    <row r="528">
      <c r="A528" s="8"/>
      <c r="F528" s="18"/>
    </row>
    <row r="529">
      <c r="A529" s="8"/>
      <c r="F529" s="18"/>
    </row>
    <row r="530">
      <c r="A530" s="8"/>
      <c r="F530" s="18"/>
    </row>
    <row r="531">
      <c r="A531" s="8"/>
      <c r="F531" s="18"/>
    </row>
    <row r="532">
      <c r="A532" s="8"/>
      <c r="F532" s="18"/>
    </row>
    <row r="533">
      <c r="A533" s="8"/>
      <c r="F533" s="18"/>
    </row>
    <row r="534">
      <c r="A534" s="8"/>
      <c r="F534" s="18"/>
    </row>
    <row r="535">
      <c r="A535" s="8"/>
      <c r="F535" s="18"/>
    </row>
    <row r="536">
      <c r="A536" s="8"/>
      <c r="F536" s="18"/>
    </row>
    <row r="537">
      <c r="A537" s="8"/>
      <c r="F537" s="18"/>
    </row>
    <row r="538">
      <c r="A538" s="8"/>
      <c r="F538" s="18"/>
    </row>
    <row r="539">
      <c r="A539" s="8"/>
      <c r="F539" s="18"/>
    </row>
    <row r="540">
      <c r="A540" s="8"/>
      <c r="F540" s="18"/>
    </row>
    <row r="541">
      <c r="A541" s="8"/>
      <c r="F541" s="18"/>
    </row>
    <row r="542">
      <c r="A542" s="8"/>
      <c r="F542" s="18"/>
    </row>
    <row r="543">
      <c r="A543" s="8"/>
      <c r="F543" s="18"/>
    </row>
    <row r="544">
      <c r="A544" s="8"/>
      <c r="F544" s="18"/>
    </row>
    <row r="545">
      <c r="A545" s="8"/>
      <c r="F545" s="18"/>
    </row>
    <row r="546">
      <c r="A546" s="8"/>
      <c r="F546" s="18"/>
    </row>
    <row r="547">
      <c r="A547" s="8"/>
      <c r="F547" s="18"/>
    </row>
    <row r="548">
      <c r="A548" s="8"/>
      <c r="F548" s="18"/>
    </row>
    <row r="549">
      <c r="A549" s="8"/>
      <c r="F549" s="18"/>
    </row>
    <row r="550">
      <c r="A550" s="8"/>
      <c r="F550" s="18"/>
    </row>
    <row r="551">
      <c r="A551" s="8"/>
      <c r="F551" s="18"/>
    </row>
    <row r="552">
      <c r="A552" s="8"/>
      <c r="F552" s="18"/>
    </row>
    <row r="553">
      <c r="A553" s="8"/>
      <c r="F553" s="18"/>
    </row>
    <row r="554">
      <c r="A554" s="8"/>
      <c r="F554" s="18"/>
    </row>
    <row r="555">
      <c r="A555" s="8"/>
      <c r="F555" s="18"/>
    </row>
    <row r="556">
      <c r="A556" s="8"/>
      <c r="F556" s="18"/>
    </row>
    <row r="557">
      <c r="A557" s="8"/>
      <c r="F557" s="18"/>
    </row>
    <row r="558">
      <c r="A558" s="8"/>
      <c r="F558" s="18"/>
    </row>
    <row r="559">
      <c r="A559" s="8"/>
      <c r="F559" s="18"/>
    </row>
    <row r="560">
      <c r="A560" s="8"/>
      <c r="F560" s="18"/>
    </row>
    <row r="561">
      <c r="A561" s="8"/>
      <c r="F561" s="18"/>
    </row>
    <row r="562">
      <c r="A562" s="8"/>
      <c r="F562" s="18"/>
    </row>
    <row r="563">
      <c r="A563" s="8"/>
      <c r="F563" s="18"/>
    </row>
    <row r="564">
      <c r="A564" s="8"/>
      <c r="F564" s="18"/>
    </row>
    <row r="565">
      <c r="A565" s="8"/>
      <c r="F565" s="18"/>
    </row>
    <row r="566">
      <c r="A566" s="8"/>
      <c r="F566" s="18"/>
    </row>
    <row r="567">
      <c r="A567" s="8"/>
      <c r="F567" s="18"/>
    </row>
    <row r="568">
      <c r="A568" s="8"/>
      <c r="F568" s="18"/>
    </row>
    <row r="569">
      <c r="A569" s="8"/>
      <c r="F569" s="18"/>
    </row>
    <row r="570">
      <c r="A570" s="8"/>
      <c r="F570" s="18"/>
    </row>
    <row r="571">
      <c r="A571" s="8"/>
      <c r="F571" s="18"/>
    </row>
    <row r="572">
      <c r="A572" s="8"/>
      <c r="F572" s="18"/>
    </row>
    <row r="573">
      <c r="A573" s="8"/>
      <c r="F573" s="18"/>
    </row>
    <row r="574">
      <c r="A574" s="8"/>
      <c r="F574" s="18"/>
    </row>
    <row r="575">
      <c r="A575" s="8"/>
      <c r="F575" s="18"/>
    </row>
    <row r="576">
      <c r="A576" s="8"/>
      <c r="F576" s="18"/>
    </row>
    <row r="577">
      <c r="A577" s="8"/>
      <c r="F577" s="18"/>
    </row>
    <row r="578">
      <c r="A578" s="8"/>
      <c r="F578" s="18"/>
    </row>
    <row r="579">
      <c r="A579" s="8"/>
      <c r="F579" s="18"/>
    </row>
    <row r="580">
      <c r="A580" s="8"/>
      <c r="F580" s="18"/>
    </row>
    <row r="581">
      <c r="A581" s="8"/>
      <c r="F581" s="18"/>
    </row>
    <row r="582">
      <c r="A582" s="8"/>
      <c r="F582" s="18"/>
    </row>
    <row r="583">
      <c r="A583" s="8"/>
      <c r="F583" s="18"/>
    </row>
    <row r="584">
      <c r="A584" s="8"/>
      <c r="F584" s="18"/>
    </row>
    <row r="585">
      <c r="A585" s="8"/>
      <c r="F585" s="18"/>
    </row>
    <row r="586">
      <c r="A586" s="8"/>
      <c r="F586" s="18"/>
    </row>
    <row r="587">
      <c r="A587" s="8"/>
      <c r="F587" s="18"/>
    </row>
    <row r="588">
      <c r="A588" s="8"/>
      <c r="F588" s="18"/>
    </row>
    <row r="589">
      <c r="A589" s="8"/>
      <c r="F589" s="18"/>
    </row>
    <row r="590">
      <c r="A590" s="8"/>
      <c r="F590" s="18"/>
    </row>
    <row r="591">
      <c r="A591" s="8"/>
      <c r="F591" s="18"/>
    </row>
    <row r="592">
      <c r="A592" s="8"/>
      <c r="F592" s="18"/>
    </row>
    <row r="593">
      <c r="A593" s="8"/>
      <c r="F593" s="18"/>
    </row>
    <row r="594">
      <c r="A594" s="8"/>
      <c r="F594" s="18"/>
    </row>
    <row r="595">
      <c r="A595" s="8"/>
      <c r="F595" s="18"/>
    </row>
    <row r="596">
      <c r="A596" s="8"/>
      <c r="F596" s="18"/>
    </row>
    <row r="597">
      <c r="A597" s="8"/>
      <c r="F597" s="18"/>
    </row>
    <row r="598">
      <c r="A598" s="8"/>
      <c r="F598" s="18"/>
    </row>
    <row r="599">
      <c r="A599" s="8"/>
      <c r="F599" s="18"/>
    </row>
    <row r="600">
      <c r="A600" s="8"/>
      <c r="F600" s="18"/>
    </row>
    <row r="601">
      <c r="A601" s="8"/>
      <c r="F601" s="18"/>
    </row>
    <row r="602">
      <c r="A602" s="8"/>
      <c r="F602" s="18"/>
    </row>
    <row r="603">
      <c r="A603" s="8"/>
      <c r="F603" s="18"/>
    </row>
    <row r="604">
      <c r="A604" s="8"/>
      <c r="F604" s="18"/>
    </row>
    <row r="605">
      <c r="A605" s="8"/>
      <c r="F605" s="18"/>
    </row>
    <row r="606">
      <c r="A606" s="8"/>
      <c r="F606" s="18"/>
    </row>
    <row r="607">
      <c r="A607" s="8"/>
      <c r="F607" s="18"/>
    </row>
    <row r="608">
      <c r="A608" s="8"/>
      <c r="F608" s="18"/>
    </row>
    <row r="609">
      <c r="A609" s="8"/>
      <c r="F609" s="18"/>
    </row>
    <row r="610">
      <c r="A610" s="8"/>
      <c r="F610" s="18"/>
    </row>
    <row r="611">
      <c r="A611" s="8"/>
      <c r="F611" s="18"/>
    </row>
    <row r="612">
      <c r="A612" s="8"/>
      <c r="F612" s="18"/>
    </row>
    <row r="613">
      <c r="A613" s="8"/>
      <c r="F613" s="18"/>
    </row>
    <row r="614">
      <c r="A614" s="8"/>
      <c r="F614" s="18"/>
    </row>
    <row r="615">
      <c r="A615" s="8"/>
      <c r="F615" s="18"/>
    </row>
    <row r="616">
      <c r="A616" s="8"/>
      <c r="F616" s="18"/>
    </row>
    <row r="617">
      <c r="A617" s="8"/>
      <c r="F617" s="18"/>
    </row>
    <row r="618">
      <c r="A618" s="8"/>
      <c r="F618" s="18"/>
    </row>
    <row r="619">
      <c r="A619" s="8"/>
      <c r="F619" s="18"/>
    </row>
    <row r="620">
      <c r="A620" s="8"/>
      <c r="F620" s="18"/>
    </row>
    <row r="621">
      <c r="A621" s="8"/>
      <c r="F621" s="18"/>
    </row>
    <row r="622">
      <c r="A622" s="8"/>
      <c r="F622" s="18"/>
    </row>
    <row r="623">
      <c r="A623" s="8"/>
      <c r="F623" s="18"/>
    </row>
    <row r="624">
      <c r="A624" s="8"/>
      <c r="F624" s="18"/>
    </row>
    <row r="625">
      <c r="A625" s="8"/>
      <c r="F625" s="18"/>
    </row>
    <row r="626">
      <c r="A626" s="8"/>
      <c r="F626" s="18"/>
    </row>
    <row r="627">
      <c r="A627" s="8"/>
      <c r="F627" s="18"/>
    </row>
    <row r="628">
      <c r="A628" s="8"/>
      <c r="F628" s="18"/>
    </row>
    <row r="629">
      <c r="A629" s="8"/>
      <c r="F629" s="18"/>
    </row>
    <row r="630">
      <c r="A630" s="8"/>
      <c r="F630" s="18"/>
    </row>
    <row r="631">
      <c r="A631" s="8"/>
      <c r="F631" s="18"/>
    </row>
    <row r="632">
      <c r="A632" s="8"/>
      <c r="F632" s="18"/>
    </row>
    <row r="633">
      <c r="A633" s="8"/>
      <c r="F633" s="18"/>
    </row>
    <row r="634">
      <c r="A634" s="8"/>
      <c r="F634" s="18"/>
    </row>
    <row r="635">
      <c r="A635" s="8"/>
      <c r="F635" s="18"/>
    </row>
    <row r="636">
      <c r="A636" s="8"/>
      <c r="F636" s="18"/>
    </row>
    <row r="637">
      <c r="A637" s="8"/>
      <c r="F637" s="18"/>
    </row>
    <row r="638">
      <c r="A638" s="8"/>
      <c r="F638" s="18"/>
    </row>
    <row r="639">
      <c r="A639" s="8"/>
      <c r="F639" s="18"/>
    </row>
    <row r="640">
      <c r="A640" s="8"/>
      <c r="F640" s="18"/>
    </row>
    <row r="641">
      <c r="A641" s="8"/>
      <c r="F641" s="18"/>
    </row>
    <row r="642">
      <c r="A642" s="8"/>
      <c r="F642" s="18"/>
    </row>
    <row r="643">
      <c r="A643" s="8"/>
      <c r="F643" s="18"/>
    </row>
    <row r="644">
      <c r="A644" s="8"/>
      <c r="F644" s="18"/>
    </row>
    <row r="645">
      <c r="A645" s="8"/>
      <c r="F645" s="18"/>
    </row>
    <row r="646">
      <c r="A646" s="8"/>
      <c r="F646" s="18"/>
    </row>
    <row r="647">
      <c r="A647" s="8"/>
      <c r="F647" s="18"/>
    </row>
    <row r="648">
      <c r="A648" s="8"/>
      <c r="F648" s="18"/>
    </row>
    <row r="649">
      <c r="A649" s="8"/>
      <c r="F649" s="18"/>
    </row>
    <row r="650">
      <c r="A650" s="8"/>
      <c r="F650" s="18"/>
    </row>
    <row r="651">
      <c r="A651" s="8"/>
      <c r="F651" s="18"/>
    </row>
    <row r="652">
      <c r="A652" s="8"/>
      <c r="F652" s="18"/>
    </row>
    <row r="653">
      <c r="A653" s="8"/>
      <c r="F653" s="18"/>
    </row>
    <row r="654">
      <c r="A654" s="8"/>
      <c r="F654" s="18"/>
    </row>
    <row r="655">
      <c r="A655" s="8"/>
      <c r="F655" s="18"/>
    </row>
    <row r="656">
      <c r="A656" s="8"/>
      <c r="F656" s="18"/>
    </row>
    <row r="657">
      <c r="A657" s="8"/>
      <c r="F657" s="18"/>
    </row>
    <row r="658">
      <c r="A658" s="8"/>
      <c r="F658" s="18"/>
    </row>
    <row r="659">
      <c r="A659" s="8"/>
      <c r="F659" s="18"/>
    </row>
    <row r="660">
      <c r="A660" s="8"/>
      <c r="F660" s="18"/>
    </row>
    <row r="661">
      <c r="A661" s="8"/>
      <c r="F661" s="18"/>
    </row>
    <row r="662">
      <c r="A662" s="8"/>
      <c r="F662" s="18"/>
    </row>
    <row r="663">
      <c r="A663" s="8"/>
      <c r="F663" s="18"/>
    </row>
    <row r="664">
      <c r="A664" s="8"/>
      <c r="F664" s="18"/>
    </row>
    <row r="665">
      <c r="A665" s="8"/>
      <c r="F665" s="18"/>
    </row>
    <row r="666">
      <c r="A666" s="8"/>
      <c r="F666" s="18"/>
    </row>
    <row r="667">
      <c r="A667" s="8"/>
      <c r="F667" s="18"/>
    </row>
    <row r="668">
      <c r="A668" s="8"/>
      <c r="F668" s="18"/>
    </row>
    <row r="669">
      <c r="A669" s="8"/>
      <c r="F669" s="18"/>
    </row>
    <row r="670">
      <c r="A670" s="8"/>
      <c r="F670" s="18"/>
    </row>
    <row r="671">
      <c r="A671" s="8"/>
      <c r="F671" s="18"/>
    </row>
    <row r="672">
      <c r="A672" s="8"/>
      <c r="F672" s="18"/>
    </row>
    <row r="673">
      <c r="A673" s="8"/>
      <c r="F673" s="18"/>
    </row>
    <row r="674">
      <c r="A674" s="8"/>
      <c r="F674" s="18"/>
    </row>
    <row r="675">
      <c r="A675" s="8"/>
      <c r="F675" s="18"/>
    </row>
    <row r="676">
      <c r="A676" s="8"/>
      <c r="F676" s="18"/>
    </row>
    <row r="677">
      <c r="A677" s="8"/>
      <c r="F677" s="18"/>
    </row>
    <row r="678">
      <c r="A678" s="8"/>
      <c r="F678" s="18"/>
    </row>
    <row r="679">
      <c r="A679" s="8"/>
      <c r="F679" s="18"/>
    </row>
    <row r="680">
      <c r="A680" s="8"/>
      <c r="F680" s="18"/>
    </row>
    <row r="681">
      <c r="A681" s="8"/>
      <c r="F681" s="18"/>
    </row>
    <row r="682">
      <c r="A682" s="8"/>
      <c r="F682" s="18"/>
    </row>
    <row r="683">
      <c r="A683" s="8"/>
      <c r="F683" s="18"/>
    </row>
    <row r="684">
      <c r="A684" s="8"/>
      <c r="F684" s="18"/>
    </row>
    <row r="685">
      <c r="A685" s="8"/>
      <c r="F685" s="18"/>
    </row>
    <row r="686">
      <c r="A686" s="8"/>
      <c r="F686" s="18"/>
    </row>
    <row r="687">
      <c r="A687" s="8"/>
      <c r="F687" s="18"/>
    </row>
    <row r="688">
      <c r="A688" s="8"/>
      <c r="F688" s="18"/>
    </row>
    <row r="689">
      <c r="A689" s="8"/>
      <c r="F689" s="18"/>
    </row>
    <row r="690">
      <c r="A690" s="8"/>
      <c r="F690" s="18"/>
    </row>
    <row r="691">
      <c r="A691" s="8"/>
      <c r="F691" s="18"/>
    </row>
    <row r="692">
      <c r="A692" s="8"/>
      <c r="F692" s="18"/>
    </row>
    <row r="693">
      <c r="A693" s="8"/>
      <c r="F693" s="18"/>
    </row>
    <row r="694">
      <c r="A694" s="8"/>
      <c r="F694" s="18"/>
    </row>
    <row r="695">
      <c r="A695" s="8"/>
      <c r="F695" s="18"/>
    </row>
    <row r="696">
      <c r="A696" s="8"/>
      <c r="F696" s="18"/>
    </row>
    <row r="697">
      <c r="A697" s="8"/>
      <c r="F697" s="18"/>
    </row>
    <row r="698">
      <c r="A698" s="8"/>
      <c r="F698" s="18"/>
    </row>
    <row r="699">
      <c r="A699" s="8"/>
      <c r="F699" s="18"/>
    </row>
    <row r="700">
      <c r="A700" s="8"/>
      <c r="F700" s="18"/>
    </row>
    <row r="701">
      <c r="A701" s="8"/>
      <c r="F701" s="18"/>
    </row>
    <row r="702">
      <c r="A702" s="8"/>
      <c r="F702" s="18"/>
    </row>
    <row r="703">
      <c r="A703" s="8"/>
      <c r="F703" s="18"/>
    </row>
    <row r="704">
      <c r="A704" s="8"/>
      <c r="F704" s="18"/>
    </row>
    <row r="705">
      <c r="A705" s="8"/>
      <c r="F705" s="18"/>
    </row>
    <row r="706">
      <c r="A706" s="8"/>
      <c r="F706" s="18"/>
    </row>
    <row r="707">
      <c r="A707" s="8"/>
      <c r="F707" s="18"/>
    </row>
    <row r="708">
      <c r="A708" s="8"/>
      <c r="F708" s="18"/>
    </row>
    <row r="709">
      <c r="A709" s="8"/>
      <c r="F709" s="18"/>
    </row>
    <row r="710">
      <c r="A710" s="8"/>
      <c r="F710" s="18"/>
    </row>
    <row r="711">
      <c r="A711" s="8"/>
      <c r="F711" s="18"/>
    </row>
    <row r="712">
      <c r="A712" s="8"/>
      <c r="F712" s="18"/>
    </row>
    <row r="713">
      <c r="A713" s="8"/>
      <c r="F713" s="18"/>
    </row>
    <row r="714">
      <c r="A714" s="8"/>
      <c r="F714" s="18"/>
    </row>
    <row r="715">
      <c r="A715" s="8"/>
      <c r="F715" s="18"/>
    </row>
    <row r="716">
      <c r="A716" s="8"/>
      <c r="F716" s="18"/>
    </row>
    <row r="717">
      <c r="A717" s="8"/>
      <c r="F717" s="18"/>
    </row>
    <row r="718">
      <c r="A718" s="8"/>
      <c r="F718" s="18"/>
    </row>
    <row r="719">
      <c r="A719" s="8"/>
      <c r="F719" s="18"/>
    </row>
    <row r="720">
      <c r="A720" s="8"/>
      <c r="F720" s="18"/>
    </row>
    <row r="721">
      <c r="A721" s="8"/>
      <c r="F721" s="18"/>
    </row>
    <row r="722">
      <c r="A722" s="8"/>
      <c r="F722" s="18"/>
    </row>
    <row r="723">
      <c r="A723" s="8"/>
      <c r="F723" s="18"/>
    </row>
    <row r="724">
      <c r="A724" s="8"/>
      <c r="F724" s="18"/>
    </row>
    <row r="725">
      <c r="A725" s="8"/>
      <c r="F725" s="18"/>
    </row>
    <row r="726">
      <c r="A726" s="8"/>
      <c r="F726" s="18"/>
    </row>
    <row r="727">
      <c r="A727" s="8"/>
      <c r="F727" s="18"/>
    </row>
    <row r="728">
      <c r="A728" s="8"/>
      <c r="F728" s="18"/>
    </row>
    <row r="729">
      <c r="A729" s="8"/>
      <c r="F729" s="18"/>
    </row>
    <row r="730">
      <c r="A730" s="8"/>
      <c r="F730" s="18"/>
    </row>
    <row r="731">
      <c r="A731" s="8"/>
      <c r="F731" s="18"/>
    </row>
    <row r="732">
      <c r="A732" s="8"/>
      <c r="F732" s="18"/>
    </row>
    <row r="733">
      <c r="A733" s="8"/>
      <c r="F733" s="18"/>
    </row>
    <row r="734">
      <c r="A734" s="8"/>
      <c r="F734" s="18"/>
    </row>
    <row r="735">
      <c r="A735" s="8"/>
      <c r="F735" s="18"/>
    </row>
    <row r="736">
      <c r="A736" s="8"/>
      <c r="F736" s="18"/>
    </row>
    <row r="737">
      <c r="A737" s="8"/>
      <c r="F737" s="18"/>
    </row>
    <row r="738">
      <c r="A738" s="8"/>
      <c r="F738" s="18"/>
    </row>
    <row r="739">
      <c r="A739" s="8"/>
      <c r="F739" s="18"/>
    </row>
    <row r="740">
      <c r="A740" s="8"/>
      <c r="F740" s="18"/>
    </row>
    <row r="741">
      <c r="A741" s="8"/>
      <c r="F741" s="18"/>
    </row>
    <row r="742">
      <c r="A742" s="8"/>
      <c r="F742" s="18"/>
    </row>
    <row r="743">
      <c r="A743" s="8"/>
      <c r="F743" s="18"/>
    </row>
    <row r="744">
      <c r="A744" s="8"/>
      <c r="F744" s="18"/>
    </row>
    <row r="745">
      <c r="A745" s="8"/>
      <c r="F745" s="18"/>
    </row>
    <row r="746">
      <c r="A746" s="8"/>
      <c r="F746" s="18"/>
    </row>
    <row r="747">
      <c r="A747" s="8"/>
      <c r="F747" s="18"/>
    </row>
    <row r="748">
      <c r="A748" s="8"/>
      <c r="F748" s="18"/>
    </row>
    <row r="749">
      <c r="A749" s="8"/>
      <c r="F749" s="18"/>
    </row>
    <row r="750">
      <c r="A750" s="8"/>
      <c r="F750" s="18"/>
    </row>
    <row r="751">
      <c r="A751" s="8"/>
      <c r="F751" s="18"/>
    </row>
    <row r="752">
      <c r="A752" s="8"/>
      <c r="F752" s="18"/>
    </row>
    <row r="753">
      <c r="A753" s="8"/>
      <c r="F753" s="18"/>
    </row>
    <row r="754">
      <c r="A754" s="8"/>
      <c r="F754" s="18"/>
    </row>
    <row r="755">
      <c r="A755" s="8"/>
      <c r="F755" s="18"/>
    </row>
    <row r="756">
      <c r="A756" s="8"/>
      <c r="F756" s="18"/>
    </row>
    <row r="757">
      <c r="A757" s="8"/>
      <c r="F757" s="18"/>
    </row>
    <row r="758">
      <c r="A758" s="8"/>
      <c r="F758" s="18"/>
    </row>
    <row r="759">
      <c r="A759" s="8"/>
      <c r="F759" s="18"/>
    </row>
    <row r="760">
      <c r="A760" s="8"/>
      <c r="F760" s="18"/>
    </row>
    <row r="761">
      <c r="A761" s="8"/>
      <c r="F761" s="18"/>
    </row>
    <row r="762">
      <c r="A762" s="8"/>
      <c r="F762" s="18"/>
    </row>
    <row r="763">
      <c r="A763" s="8"/>
      <c r="F763" s="18"/>
    </row>
    <row r="764">
      <c r="A764" s="8"/>
      <c r="F764" s="18"/>
    </row>
    <row r="765">
      <c r="A765" s="8"/>
      <c r="F765" s="18"/>
    </row>
    <row r="766">
      <c r="A766" s="8"/>
      <c r="F766" s="18"/>
    </row>
    <row r="767">
      <c r="A767" s="8"/>
      <c r="F767" s="18"/>
    </row>
    <row r="768">
      <c r="A768" s="8"/>
      <c r="F768" s="18"/>
    </row>
    <row r="769">
      <c r="A769" s="8"/>
      <c r="F769" s="18"/>
    </row>
    <row r="770">
      <c r="A770" s="8"/>
      <c r="F770" s="18"/>
    </row>
    <row r="771">
      <c r="A771" s="8"/>
      <c r="F771" s="18"/>
    </row>
    <row r="772">
      <c r="A772" s="8"/>
      <c r="F772" s="18"/>
    </row>
    <row r="773">
      <c r="A773" s="8"/>
      <c r="F773" s="18"/>
    </row>
    <row r="774">
      <c r="A774" s="8"/>
      <c r="F774" s="18"/>
    </row>
    <row r="775">
      <c r="A775" s="8"/>
      <c r="F775" s="18"/>
    </row>
    <row r="776">
      <c r="A776" s="8"/>
      <c r="F776" s="18"/>
    </row>
    <row r="777">
      <c r="A777" s="8"/>
      <c r="F777" s="18"/>
    </row>
    <row r="778">
      <c r="A778" s="8"/>
      <c r="F778" s="18"/>
    </row>
    <row r="779">
      <c r="A779" s="8"/>
      <c r="F779" s="18"/>
    </row>
    <row r="780">
      <c r="A780" s="8"/>
      <c r="F780" s="18"/>
    </row>
    <row r="781">
      <c r="A781" s="8"/>
      <c r="F781" s="18"/>
    </row>
    <row r="782">
      <c r="A782" s="8"/>
      <c r="F782" s="18"/>
    </row>
    <row r="783">
      <c r="A783" s="8"/>
      <c r="F783" s="18"/>
    </row>
    <row r="784">
      <c r="A784" s="8"/>
      <c r="F784" s="18"/>
    </row>
    <row r="785">
      <c r="A785" s="8"/>
      <c r="F785" s="18"/>
    </row>
    <row r="786">
      <c r="A786" s="8"/>
      <c r="F786" s="18"/>
    </row>
    <row r="787">
      <c r="A787" s="8"/>
      <c r="F787" s="18"/>
    </row>
    <row r="788">
      <c r="A788" s="8"/>
      <c r="F788" s="18"/>
    </row>
    <row r="789">
      <c r="A789" s="8"/>
      <c r="F789" s="18"/>
    </row>
    <row r="790">
      <c r="A790" s="8"/>
      <c r="F790" s="18"/>
    </row>
    <row r="791">
      <c r="A791" s="8"/>
      <c r="F791" s="18"/>
    </row>
    <row r="792">
      <c r="A792" s="8"/>
      <c r="F792" s="18"/>
    </row>
    <row r="793">
      <c r="A793" s="8"/>
      <c r="F793" s="18"/>
    </row>
    <row r="794">
      <c r="A794" s="8"/>
      <c r="F794" s="18"/>
    </row>
    <row r="795">
      <c r="A795" s="8"/>
      <c r="F795" s="18"/>
    </row>
    <row r="796">
      <c r="A796" s="8"/>
      <c r="F796" s="18"/>
    </row>
    <row r="797">
      <c r="A797" s="8"/>
      <c r="F797" s="18"/>
    </row>
    <row r="798">
      <c r="A798" s="8"/>
      <c r="F798" s="18"/>
    </row>
    <row r="799">
      <c r="A799" s="8"/>
      <c r="F799" s="18"/>
    </row>
    <row r="800">
      <c r="A800" s="8"/>
      <c r="F800" s="18"/>
    </row>
    <row r="801">
      <c r="A801" s="8"/>
      <c r="F801" s="18"/>
    </row>
    <row r="802">
      <c r="A802" s="8"/>
      <c r="F802" s="18"/>
    </row>
    <row r="803">
      <c r="A803" s="8"/>
      <c r="F803" s="18"/>
    </row>
    <row r="804">
      <c r="A804" s="8"/>
      <c r="F804" s="18"/>
    </row>
    <row r="805">
      <c r="A805" s="8"/>
      <c r="F805" s="18"/>
    </row>
    <row r="806">
      <c r="A806" s="8"/>
      <c r="F806" s="18"/>
    </row>
    <row r="807">
      <c r="A807" s="8"/>
      <c r="F807" s="18"/>
    </row>
    <row r="808">
      <c r="A808" s="8"/>
      <c r="F808" s="18"/>
    </row>
    <row r="809">
      <c r="A809" s="8"/>
      <c r="F809" s="18"/>
    </row>
    <row r="810">
      <c r="A810" s="8"/>
      <c r="F810" s="18"/>
    </row>
    <row r="811">
      <c r="A811" s="8"/>
      <c r="F811" s="18"/>
    </row>
    <row r="812">
      <c r="A812" s="8"/>
      <c r="F812" s="18"/>
    </row>
    <row r="813">
      <c r="A813" s="8"/>
      <c r="F813" s="18"/>
    </row>
    <row r="814">
      <c r="A814" s="8"/>
      <c r="F814" s="18"/>
    </row>
    <row r="815">
      <c r="A815" s="8"/>
      <c r="F815" s="18"/>
    </row>
    <row r="816">
      <c r="A816" s="8"/>
      <c r="F816" s="18"/>
    </row>
    <row r="817">
      <c r="A817" s="8"/>
      <c r="F817" s="18"/>
    </row>
    <row r="818">
      <c r="A818" s="8"/>
      <c r="F818" s="18"/>
    </row>
    <row r="819">
      <c r="A819" s="8"/>
      <c r="F819" s="18"/>
    </row>
    <row r="820">
      <c r="A820" s="8"/>
      <c r="F820" s="18"/>
    </row>
    <row r="821">
      <c r="A821" s="8"/>
      <c r="F821" s="18"/>
    </row>
    <row r="822">
      <c r="A822" s="8"/>
      <c r="F822" s="18"/>
    </row>
    <row r="823">
      <c r="A823" s="8"/>
      <c r="F823" s="18"/>
    </row>
    <row r="824">
      <c r="A824" s="8"/>
      <c r="F824" s="18"/>
    </row>
    <row r="825">
      <c r="A825" s="8"/>
      <c r="F825" s="18"/>
    </row>
    <row r="826">
      <c r="A826" s="8"/>
      <c r="F826" s="18"/>
    </row>
    <row r="827">
      <c r="A827" s="8"/>
      <c r="F827" s="18"/>
    </row>
    <row r="828">
      <c r="A828" s="8"/>
      <c r="F828" s="18"/>
    </row>
    <row r="829">
      <c r="A829" s="8"/>
      <c r="F829" s="18"/>
    </row>
    <row r="830">
      <c r="A830" s="8"/>
      <c r="F830" s="18"/>
    </row>
    <row r="831">
      <c r="A831" s="8"/>
      <c r="F831" s="18"/>
    </row>
    <row r="832">
      <c r="A832" s="8"/>
      <c r="F832" s="18"/>
    </row>
    <row r="833">
      <c r="A833" s="8"/>
      <c r="F833" s="18"/>
    </row>
    <row r="834">
      <c r="A834" s="8"/>
      <c r="F834" s="18"/>
    </row>
    <row r="835">
      <c r="A835" s="8"/>
      <c r="F835" s="18"/>
    </row>
    <row r="836">
      <c r="A836" s="8"/>
      <c r="F836" s="18"/>
    </row>
    <row r="837">
      <c r="A837" s="8"/>
      <c r="F837" s="18"/>
    </row>
    <row r="838">
      <c r="A838" s="8"/>
      <c r="F838" s="18"/>
    </row>
    <row r="839">
      <c r="A839" s="8"/>
      <c r="F839" s="18"/>
    </row>
    <row r="840">
      <c r="A840" s="8"/>
      <c r="F840" s="18"/>
    </row>
    <row r="841">
      <c r="A841" s="8"/>
      <c r="F841" s="18"/>
    </row>
    <row r="842">
      <c r="A842" s="8"/>
      <c r="F842" s="18"/>
    </row>
    <row r="843">
      <c r="A843" s="8"/>
      <c r="F843" s="18"/>
    </row>
    <row r="844">
      <c r="A844" s="8"/>
      <c r="F844" s="18"/>
    </row>
    <row r="845">
      <c r="A845" s="8"/>
      <c r="F845" s="18"/>
    </row>
    <row r="846">
      <c r="A846" s="8"/>
      <c r="F846" s="18"/>
    </row>
    <row r="847">
      <c r="A847" s="8"/>
      <c r="F847" s="18"/>
    </row>
    <row r="848">
      <c r="A848" s="8"/>
      <c r="F848" s="18"/>
    </row>
    <row r="849">
      <c r="A849" s="8"/>
      <c r="F849" s="18"/>
    </row>
    <row r="850">
      <c r="A850" s="8"/>
      <c r="F850" s="18"/>
    </row>
    <row r="851">
      <c r="A851" s="8"/>
      <c r="F851" s="18"/>
    </row>
    <row r="852">
      <c r="A852" s="8"/>
      <c r="F852" s="18"/>
    </row>
    <row r="853">
      <c r="A853" s="8"/>
      <c r="F853" s="18"/>
    </row>
    <row r="854">
      <c r="A854" s="8"/>
      <c r="F854" s="18"/>
    </row>
    <row r="855">
      <c r="A855" s="8"/>
      <c r="F855" s="18"/>
    </row>
    <row r="856">
      <c r="A856" s="8"/>
      <c r="F856" s="18"/>
    </row>
    <row r="857">
      <c r="A857" s="8"/>
      <c r="F857" s="18"/>
    </row>
    <row r="858">
      <c r="A858" s="8"/>
      <c r="F858" s="18"/>
    </row>
    <row r="859">
      <c r="A859" s="8"/>
      <c r="F859" s="18"/>
    </row>
    <row r="860">
      <c r="A860" s="8"/>
      <c r="F860" s="18"/>
    </row>
    <row r="861">
      <c r="A861" s="8"/>
      <c r="F861" s="18"/>
    </row>
    <row r="862">
      <c r="A862" s="8"/>
      <c r="F862" s="18"/>
    </row>
    <row r="863">
      <c r="A863" s="8"/>
      <c r="F863" s="18"/>
    </row>
    <row r="864">
      <c r="A864" s="8"/>
      <c r="F864" s="18"/>
    </row>
    <row r="865">
      <c r="A865" s="8"/>
      <c r="F865" s="18"/>
    </row>
    <row r="866">
      <c r="A866" s="8"/>
      <c r="F866" s="18"/>
    </row>
    <row r="867">
      <c r="A867" s="8"/>
      <c r="F867" s="18"/>
    </row>
    <row r="868">
      <c r="A868" s="8"/>
      <c r="F868" s="18"/>
    </row>
    <row r="869">
      <c r="A869" s="8"/>
      <c r="F869" s="18"/>
    </row>
    <row r="870">
      <c r="A870" s="8"/>
      <c r="F870" s="18"/>
    </row>
    <row r="871">
      <c r="A871" s="8"/>
      <c r="F871" s="18"/>
    </row>
    <row r="872">
      <c r="A872" s="8"/>
      <c r="F872" s="18"/>
    </row>
    <row r="873">
      <c r="A873" s="8"/>
      <c r="F873" s="18"/>
    </row>
    <row r="874">
      <c r="A874" s="8"/>
      <c r="F874" s="18"/>
    </row>
    <row r="875">
      <c r="A875" s="8"/>
      <c r="F875" s="18"/>
    </row>
    <row r="876">
      <c r="A876" s="8"/>
      <c r="F876" s="18"/>
    </row>
    <row r="877">
      <c r="A877" s="8"/>
      <c r="F877" s="18"/>
    </row>
    <row r="878">
      <c r="A878" s="8"/>
      <c r="F878" s="18"/>
    </row>
    <row r="879">
      <c r="A879" s="8"/>
      <c r="F879" s="18"/>
    </row>
    <row r="880">
      <c r="A880" s="8"/>
      <c r="F880" s="18"/>
    </row>
    <row r="881">
      <c r="A881" s="8"/>
      <c r="F881" s="18"/>
    </row>
    <row r="882">
      <c r="A882" s="8"/>
      <c r="F882" s="18"/>
    </row>
    <row r="883">
      <c r="A883" s="8"/>
      <c r="F883" s="18"/>
    </row>
    <row r="884">
      <c r="A884" s="8"/>
      <c r="F884" s="18"/>
    </row>
    <row r="885">
      <c r="A885" s="8"/>
      <c r="F885" s="18"/>
    </row>
    <row r="886">
      <c r="A886" s="8"/>
      <c r="F886" s="18"/>
    </row>
    <row r="887">
      <c r="A887" s="8"/>
      <c r="F887" s="18"/>
    </row>
    <row r="888">
      <c r="A888" s="8"/>
      <c r="F888" s="18"/>
    </row>
    <row r="889">
      <c r="A889" s="8"/>
      <c r="F889" s="18"/>
    </row>
    <row r="890">
      <c r="A890" s="8"/>
      <c r="F890" s="18"/>
    </row>
    <row r="891">
      <c r="A891" s="8"/>
      <c r="F891" s="18"/>
    </row>
    <row r="892">
      <c r="A892" s="8"/>
      <c r="F892" s="18"/>
    </row>
    <row r="893">
      <c r="A893" s="8"/>
      <c r="F893" s="18"/>
    </row>
    <row r="894">
      <c r="A894" s="8"/>
      <c r="F894" s="18"/>
    </row>
    <row r="895">
      <c r="A895" s="8"/>
      <c r="F895" s="18"/>
    </row>
    <row r="896">
      <c r="A896" s="8"/>
      <c r="F896" s="18"/>
    </row>
    <row r="897">
      <c r="A897" s="8"/>
      <c r="F897" s="18"/>
    </row>
    <row r="898">
      <c r="A898" s="8"/>
      <c r="F898" s="18"/>
    </row>
    <row r="899">
      <c r="A899" s="8"/>
      <c r="F899" s="18"/>
    </row>
    <row r="900">
      <c r="A900" s="8"/>
      <c r="F900" s="18"/>
    </row>
    <row r="901">
      <c r="A901" s="8"/>
      <c r="F901" s="18"/>
    </row>
    <row r="902">
      <c r="A902" s="8"/>
      <c r="F902" s="18"/>
    </row>
    <row r="903">
      <c r="A903" s="8"/>
      <c r="F903" s="18"/>
    </row>
    <row r="904">
      <c r="A904" s="8"/>
      <c r="F904" s="18"/>
    </row>
    <row r="905">
      <c r="A905" s="8"/>
      <c r="F905" s="18"/>
    </row>
    <row r="906">
      <c r="A906" s="8"/>
      <c r="F906" s="18"/>
    </row>
    <row r="907">
      <c r="A907" s="8"/>
      <c r="F907" s="18"/>
    </row>
    <row r="908">
      <c r="A908" s="8"/>
      <c r="F908" s="18"/>
    </row>
    <row r="909">
      <c r="A909" s="8"/>
      <c r="F909" s="18"/>
    </row>
    <row r="910">
      <c r="A910" s="8"/>
      <c r="F910" s="18"/>
    </row>
    <row r="911">
      <c r="A911" s="8"/>
      <c r="F911" s="18"/>
    </row>
    <row r="912">
      <c r="A912" s="8"/>
      <c r="F912" s="18"/>
    </row>
    <row r="913">
      <c r="A913" s="8"/>
      <c r="F913" s="18"/>
    </row>
    <row r="914">
      <c r="A914" s="8"/>
      <c r="F914" s="18"/>
    </row>
    <row r="915">
      <c r="A915" s="8"/>
      <c r="F915" s="18"/>
    </row>
    <row r="916">
      <c r="A916" s="8"/>
      <c r="F916" s="18"/>
    </row>
    <row r="917">
      <c r="A917" s="8"/>
      <c r="F917" s="18"/>
    </row>
    <row r="918">
      <c r="A918" s="8"/>
      <c r="F918" s="18"/>
    </row>
    <row r="919">
      <c r="A919" s="8"/>
      <c r="F919" s="18"/>
    </row>
    <row r="920">
      <c r="A920" s="8"/>
      <c r="F920" s="18"/>
    </row>
    <row r="921">
      <c r="A921" s="8"/>
      <c r="F921" s="18"/>
    </row>
    <row r="922">
      <c r="A922" s="8"/>
      <c r="F922" s="18"/>
    </row>
    <row r="923">
      <c r="A923" s="8"/>
      <c r="F923" s="18"/>
    </row>
    <row r="924">
      <c r="A924" s="8"/>
      <c r="F924" s="18"/>
    </row>
    <row r="925">
      <c r="A925" s="8"/>
      <c r="F925" s="18"/>
    </row>
    <row r="926">
      <c r="A926" s="8"/>
      <c r="F926" s="18"/>
    </row>
    <row r="927">
      <c r="A927" s="8"/>
      <c r="F927" s="18"/>
    </row>
    <row r="928">
      <c r="A928" s="8"/>
      <c r="F928" s="18"/>
    </row>
    <row r="929">
      <c r="A929" s="8"/>
      <c r="F929" s="18"/>
    </row>
    <row r="930">
      <c r="A930" s="8"/>
      <c r="F930" s="18"/>
    </row>
    <row r="931">
      <c r="A931" s="8"/>
      <c r="F931" s="18"/>
    </row>
    <row r="932">
      <c r="A932" s="8"/>
      <c r="F932" s="18"/>
    </row>
    <row r="933">
      <c r="A933" s="8"/>
      <c r="F933" s="18"/>
    </row>
    <row r="934">
      <c r="A934" s="8"/>
      <c r="F934" s="18"/>
    </row>
    <row r="935">
      <c r="A935" s="8"/>
      <c r="F935" s="18"/>
    </row>
    <row r="936">
      <c r="A936" s="8"/>
      <c r="F936" s="18"/>
    </row>
    <row r="937">
      <c r="A937" s="8"/>
      <c r="F937" s="18"/>
    </row>
    <row r="938">
      <c r="A938" s="8"/>
      <c r="F938" s="18"/>
    </row>
    <row r="939">
      <c r="A939" s="8"/>
      <c r="F939" s="18"/>
    </row>
    <row r="940">
      <c r="A940" s="8"/>
      <c r="F940" s="18"/>
    </row>
    <row r="941">
      <c r="A941" s="8"/>
      <c r="F941" s="18"/>
    </row>
    <row r="942">
      <c r="A942" s="8"/>
      <c r="F942" s="18"/>
    </row>
    <row r="943">
      <c r="A943" s="8"/>
      <c r="F943" s="18"/>
    </row>
    <row r="944">
      <c r="A944" s="8"/>
      <c r="F944" s="18"/>
    </row>
    <row r="945">
      <c r="A945" s="8"/>
      <c r="F945" s="18"/>
    </row>
    <row r="946">
      <c r="A946" s="8"/>
      <c r="F946" s="18"/>
    </row>
    <row r="947">
      <c r="A947" s="8"/>
      <c r="F947" s="18"/>
    </row>
    <row r="948">
      <c r="A948" s="8"/>
      <c r="F948" s="18"/>
    </row>
    <row r="949">
      <c r="A949" s="8"/>
      <c r="F949" s="18"/>
    </row>
    <row r="950">
      <c r="A950" s="8"/>
      <c r="F950" s="18"/>
    </row>
    <row r="951">
      <c r="A951" s="8"/>
      <c r="F951" s="18"/>
    </row>
    <row r="952">
      <c r="A952" s="8"/>
      <c r="F952" s="18"/>
    </row>
    <row r="953">
      <c r="A953" s="8"/>
      <c r="F953" s="18"/>
    </row>
    <row r="954">
      <c r="A954" s="8"/>
      <c r="F954" s="18"/>
    </row>
    <row r="955">
      <c r="A955" s="8"/>
      <c r="F955" s="18"/>
    </row>
    <row r="956">
      <c r="A956" s="8"/>
      <c r="F956" s="18"/>
    </row>
    <row r="957">
      <c r="A957" s="8"/>
      <c r="F957" s="18"/>
    </row>
    <row r="958">
      <c r="A958" s="8"/>
      <c r="F958" s="18"/>
    </row>
    <row r="959">
      <c r="A959" s="8"/>
      <c r="F959" s="18"/>
    </row>
    <row r="960">
      <c r="A960" s="8"/>
      <c r="F960" s="18"/>
    </row>
    <row r="961">
      <c r="A961" s="8"/>
      <c r="F961" s="18"/>
    </row>
    <row r="962">
      <c r="A962" s="8"/>
      <c r="F962" s="18"/>
    </row>
    <row r="963">
      <c r="A963" s="8"/>
      <c r="F963" s="18"/>
    </row>
    <row r="964">
      <c r="A964" s="8"/>
      <c r="F964" s="18"/>
    </row>
    <row r="965">
      <c r="A965" s="8"/>
      <c r="F965" s="18"/>
    </row>
    <row r="966">
      <c r="A966" s="8"/>
      <c r="F966" s="18"/>
    </row>
    <row r="967">
      <c r="A967" s="8"/>
      <c r="F967" s="18"/>
    </row>
    <row r="968">
      <c r="A968" s="8"/>
      <c r="F968" s="18"/>
    </row>
    <row r="969">
      <c r="A969" s="8"/>
      <c r="F969" s="18"/>
    </row>
    <row r="970">
      <c r="A970" s="8"/>
      <c r="F970" s="18"/>
    </row>
    <row r="971">
      <c r="A971" s="8"/>
      <c r="F971" s="18"/>
    </row>
    <row r="972">
      <c r="A972" s="8"/>
      <c r="F972" s="18"/>
    </row>
    <row r="973">
      <c r="A973" s="8"/>
      <c r="F973" s="18"/>
    </row>
    <row r="974">
      <c r="A974" s="8"/>
      <c r="F974" s="18"/>
    </row>
    <row r="975">
      <c r="A975" s="8"/>
      <c r="F975" s="18"/>
    </row>
    <row r="976">
      <c r="A976" s="8"/>
      <c r="F976" s="18"/>
    </row>
    <row r="977">
      <c r="A977" s="8"/>
      <c r="F977" s="18"/>
    </row>
    <row r="978">
      <c r="A978" s="8"/>
      <c r="F978" s="18"/>
    </row>
    <row r="979">
      <c r="A979" s="8"/>
      <c r="F979" s="18"/>
    </row>
    <row r="980">
      <c r="A980" s="8"/>
      <c r="F980" s="18"/>
    </row>
    <row r="981">
      <c r="A981" s="8"/>
      <c r="F981" s="18"/>
    </row>
    <row r="982">
      <c r="A982" s="8"/>
      <c r="F982" s="18"/>
    </row>
    <row r="983">
      <c r="A983" s="8"/>
      <c r="F983" s="18"/>
    </row>
    <row r="984">
      <c r="A984" s="8"/>
      <c r="F984" s="18"/>
    </row>
    <row r="985">
      <c r="A985" s="8"/>
      <c r="F985" s="18"/>
    </row>
    <row r="986">
      <c r="A986" s="8"/>
      <c r="F986" s="18"/>
    </row>
    <row r="987">
      <c r="A987" s="8"/>
      <c r="F987" s="18"/>
    </row>
    <row r="988">
      <c r="A988" s="8"/>
      <c r="F988" s="18"/>
    </row>
    <row r="989">
      <c r="A989" s="8"/>
      <c r="F989" s="18"/>
    </row>
    <row r="990">
      <c r="A990" s="8"/>
      <c r="F990" s="18"/>
    </row>
    <row r="991">
      <c r="A991" s="8"/>
      <c r="F991" s="18"/>
    </row>
    <row r="992">
      <c r="A992" s="8"/>
      <c r="F992" s="18"/>
    </row>
    <row r="993">
      <c r="A993" s="8"/>
      <c r="F993" s="18"/>
    </row>
    <row r="994">
      <c r="A994" s="8"/>
      <c r="F994" s="18"/>
    </row>
    <row r="995">
      <c r="A995" s="8"/>
      <c r="F995" s="18"/>
    </row>
    <row r="996">
      <c r="A996" s="8"/>
      <c r="F996" s="18"/>
    </row>
    <row r="997">
      <c r="A997" s="8"/>
      <c r="F997" s="18"/>
    </row>
    <row r="998">
      <c r="A998" s="8"/>
      <c r="F998" s="18"/>
    </row>
    <row r="999">
      <c r="A999" s="8"/>
      <c r="F999" s="18"/>
    </row>
    <row r="1000">
      <c r="A1000" s="8"/>
      <c r="F1000" s="18"/>
    </row>
    <row r="1001">
      <c r="A1001" s="8"/>
      <c r="F1001" s="18"/>
    </row>
    <row r="1002">
      <c r="A1002" s="8"/>
      <c r="F1002" s="18"/>
    </row>
    <row r="1003">
      <c r="A1003" s="8"/>
      <c r="F1003" s="18"/>
    </row>
    <row r="1004">
      <c r="A1004" s="8"/>
      <c r="F1004" s="18"/>
    </row>
    <row r="1005">
      <c r="A1005" s="8"/>
      <c r="F1005" s="18"/>
    </row>
    <row r="1006">
      <c r="A1006" s="8"/>
      <c r="F1006" s="18"/>
    </row>
    <row r="1007">
      <c r="A1007" s="8"/>
      <c r="F1007" s="18"/>
    </row>
    <row r="1008">
      <c r="A1008" s="8"/>
      <c r="F1008" s="18"/>
    </row>
    <row r="1009">
      <c r="A1009" s="8"/>
      <c r="F1009" s="18"/>
    </row>
    <row r="1010">
      <c r="A1010" s="8"/>
      <c r="F1010" s="18"/>
    </row>
    <row r="1011">
      <c r="A1011" s="8"/>
      <c r="F1011" s="18"/>
    </row>
    <row r="1012">
      <c r="A1012" s="8"/>
      <c r="F1012" s="18"/>
    </row>
    <row r="1013">
      <c r="A1013" s="8"/>
      <c r="F1013" s="18"/>
    </row>
    <row r="1014">
      <c r="A1014" s="8"/>
      <c r="F1014" s="18"/>
    </row>
    <row r="1015">
      <c r="A1015" s="8"/>
      <c r="F1015" s="18"/>
    </row>
    <row r="1016">
      <c r="A1016" s="8"/>
      <c r="F1016" s="18"/>
    </row>
    <row r="1017">
      <c r="A1017" s="8"/>
      <c r="F1017" s="18"/>
    </row>
    <row r="1018">
      <c r="A1018" s="8"/>
      <c r="F1018" s="18"/>
    </row>
    <row r="1019">
      <c r="A1019" s="8"/>
      <c r="F1019" s="18"/>
    </row>
    <row r="1020">
      <c r="A1020" s="8"/>
      <c r="F1020" s="18"/>
    </row>
    <row r="1021">
      <c r="A1021" s="8"/>
      <c r="F1021" s="18"/>
    </row>
    <row r="1022">
      <c r="A1022" s="8"/>
      <c r="F1022" s="18"/>
    </row>
    <row r="1023">
      <c r="A1023" s="8"/>
      <c r="F1023" s="18"/>
    </row>
    <row r="1024">
      <c r="A1024" s="8"/>
      <c r="F1024" s="18"/>
    </row>
    <row r="1025">
      <c r="A1025" s="8"/>
      <c r="F1025" s="18"/>
    </row>
    <row r="1026">
      <c r="A1026" s="8"/>
      <c r="F1026" s="18"/>
    </row>
    <row r="1027">
      <c r="A1027" s="8"/>
      <c r="F1027" s="18"/>
    </row>
    <row r="1028">
      <c r="A1028" s="8"/>
      <c r="F1028" s="18"/>
    </row>
    <row r="1029">
      <c r="A1029" s="8"/>
      <c r="F1029" s="18"/>
    </row>
    <row r="1030">
      <c r="A1030" s="8"/>
      <c r="F1030" s="18"/>
    </row>
    <row r="1031">
      <c r="A1031" s="8"/>
      <c r="F1031" s="18"/>
    </row>
    <row r="1032">
      <c r="A1032" s="8"/>
      <c r="F1032" s="18"/>
    </row>
    <row r="1033">
      <c r="A1033" s="8"/>
      <c r="F1033" s="18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20</v>
      </c>
      <c r="B1" s="26" t="s">
        <v>1</v>
      </c>
      <c r="C1" s="26" t="s">
        <v>21</v>
      </c>
      <c r="D1" s="26" t="s">
        <v>22</v>
      </c>
      <c r="E1" s="26" t="s">
        <v>23</v>
      </c>
      <c r="F1" s="27" t="s">
        <v>24</v>
      </c>
      <c r="G1" s="28" t="s">
        <v>25</v>
      </c>
      <c r="H1" s="29" t="s">
        <v>11</v>
      </c>
      <c r="I1" s="28" t="s">
        <v>12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0" t="s">
        <v>26</v>
      </c>
      <c r="B2" s="31">
        <v>2943.0</v>
      </c>
      <c r="C2" s="31">
        <v>3683.0</v>
      </c>
      <c r="D2" s="31">
        <v>2.180398E7</v>
      </c>
      <c r="E2" s="31">
        <v>1.0398135E7</v>
      </c>
      <c r="F2" s="32">
        <f t="shared" ref="F2:F17" si="2">B2/$B$2</f>
        <v>1</v>
      </c>
      <c r="G2" s="33">
        <f t="shared" ref="G2:G17" si="3">D2/B2</f>
        <v>7408.759769</v>
      </c>
      <c r="H2" s="34">
        <f t="shared" ref="H2:I2" si="1">C2/B2</f>
        <v>1.251444105</v>
      </c>
      <c r="I2" s="33">
        <f t="shared" si="1"/>
        <v>5920.168341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30" t="s">
        <v>27</v>
      </c>
      <c r="B3" s="31">
        <v>346.0</v>
      </c>
      <c r="C3" s="31">
        <v>513.0</v>
      </c>
      <c r="D3" s="31">
        <v>2765015.0</v>
      </c>
      <c r="E3" s="31">
        <v>1386330.0</v>
      </c>
      <c r="F3" s="32">
        <f t="shared" si="2"/>
        <v>0.1175671084</v>
      </c>
      <c r="G3" s="33">
        <f t="shared" si="3"/>
        <v>7991.372832</v>
      </c>
      <c r="H3" s="34">
        <f t="shared" ref="H3:I3" si="4">C3/B3</f>
        <v>1.48265896</v>
      </c>
      <c r="I3" s="33">
        <f t="shared" si="4"/>
        <v>5389.892788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30" t="s">
        <v>28</v>
      </c>
      <c r="B4" s="31">
        <v>313.0</v>
      </c>
      <c r="C4" s="31">
        <v>451.0</v>
      </c>
      <c r="D4" s="31">
        <v>2352130.0</v>
      </c>
      <c r="E4" s="31">
        <v>1173700.0</v>
      </c>
      <c r="F4" s="32">
        <f t="shared" si="2"/>
        <v>0.1063540605</v>
      </c>
      <c r="G4" s="33">
        <f t="shared" si="3"/>
        <v>7514.792332</v>
      </c>
      <c r="H4" s="34">
        <f t="shared" ref="H4:I4" si="5">C4/B4</f>
        <v>1.440894569</v>
      </c>
      <c r="I4" s="33">
        <f t="shared" si="5"/>
        <v>5215.365854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30" t="s">
        <v>29</v>
      </c>
      <c r="B5" s="31">
        <v>485.0</v>
      </c>
      <c r="C5" s="31">
        <v>819.0</v>
      </c>
      <c r="D5" s="31">
        <v>4692930.0</v>
      </c>
      <c r="E5" s="31">
        <v>2335300.0</v>
      </c>
      <c r="F5" s="32">
        <f t="shared" si="2"/>
        <v>0.1647978253</v>
      </c>
      <c r="G5" s="33">
        <f t="shared" si="3"/>
        <v>9676.14433</v>
      </c>
      <c r="H5" s="34">
        <f t="shared" ref="H5:I5" si="6">C5/B5</f>
        <v>1.688659794</v>
      </c>
      <c r="I5" s="33">
        <f t="shared" si="6"/>
        <v>5730.07326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30" t="s">
        <v>30</v>
      </c>
      <c r="B6" s="31">
        <v>296.0</v>
      </c>
      <c r="C6" s="31">
        <v>435.0</v>
      </c>
      <c r="D6" s="31">
        <v>2411530.0</v>
      </c>
      <c r="E6" s="31">
        <v>1161600.0</v>
      </c>
      <c r="F6" s="32">
        <f t="shared" si="2"/>
        <v>0.1005776419</v>
      </c>
      <c r="G6" s="33">
        <f t="shared" si="3"/>
        <v>8147.060811</v>
      </c>
      <c r="H6" s="34">
        <f t="shared" ref="H6:I6" si="7">C6/B6</f>
        <v>1.469594595</v>
      </c>
      <c r="I6" s="33">
        <f t="shared" si="7"/>
        <v>5543.747126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0" t="s">
        <v>31</v>
      </c>
      <c r="B7" s="31">
        <v>286.0</v>
      </c>
      <c r="C7" s="31">
        <v>453.0</v>
      </c>
      <c r="D7" s="31">
        <v>2186470.0</v>
      </c>
      <c r="E7" s="31">
        <v>1074425.0</v>
      </c>
      <c r="F7" s="32">
        <f t="shared" si="2"/>
        <v>0.09717974856</v>
      </c>
      <c r="G7" s="33">
        <f t="shared" si="3"/>
        <v>7645</v>
      </c>
      <c r="H7" s="34">
        <f t="shared" ref="H7:I7" si="8">C7/B7</f>
        <v>1.583916084</v>
      </c>
      <c r="I7" s="33">
        <f t="shared" si="8"/>
        <v>4826.644592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30" t="s">
        <v>32</v>
      </c>
      <c r="B8" s="31">
        <v>245.0</v>
      </c>
      <c r="C8" s="31">
        <v>396.0</v>
      </c>
      <c r="D8" s="31">
        <v>2040280.0</v>
      </c>
      <c r="E8" s="31">
        <v>988295.0</v>
      </c>
      <c r="F8" s="32">
        <f t="shared" si="2"/>
        <v>0.083248386</v>
      </c>
      <c r="G8" s="33">
        <f t="shared" si="3"/>
        <v>8327.673469</v>
      </c>
      <c r="H8" s="34">
        <f t="shared" ref="H8:I8" si="9">C8/B8</f>
        <v>1.616326531</v>
      </c>
      <c r="I8" s="33">
        <f t="shared" si="9"/>
        <v>5152.222222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30" t="s">
        <v>33</v>
      </c>
      <c r="B9" s="31">
        <v>420.0</v>
      </c>
      <c r="C9" s="31">
        <v>808.0</v>
      </c>
      <c r="D9" s="31">
        <v>4619175.0</v>
      </c>
      <c r="E9" s="31">
        <v>2215950.0</v>
      </c>
      <c r="F9" s="32">
        <f t="shared" si="2"/>
        <v>0.1427115189</v>
      </c>
      <c r="G9" s="33">
        <f t="shared" si="3"/>
        <v>10998.03571</v>
      </c>
      <c r="H9" s="34">
        <f t="shared" ref="H9:I9" si="10">C9/B9</f>
        <v>1.923809524</v>
      </c>
      <c r="I9" s="33">
        <f t="shared" si="10"/>
        <v>5716.800743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30" t="s">
        <v>34</v>
      </c>
      <c r="B10" s="31">
        <v>312.0</v>
      </c>
      <c r="C10" s="31">
        <v>481.0</v>
      </c>
      <c r="D10" s="31">
        <v>2391565.0</v>
      </c>
      <c r="E10" s="31">
        <v>1101815.0</v>
      </c>
      <c r="F10" s="32">
        <f t="shared" si="2"/>
        <v>0.1060142712</v>
      </c>
      <c r="G10" s="33">
        <f t="shared" si="3"/>
        <v>7665.272436</v>
      </c>
      <c r="H10" s="34">
        <f t="shared" ref="H10:I10" si="11">C10/B10</f>
        <v>1.541666667</v>
      </c>
      <c r="I10" s="33">
        <f t="shared" si="11"/>
        <v>4972.068607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0" t="s">
        <v>35</v>
      </c>
      <c r="B11" s="31">
        <v>281.0</v>
      </c>
      <c r="C11" s="31">
        <v>462.0</v>
      </c>
      <c r="D11" s="31">
        <v>2061895.0</v>
      </c>
      <c r="E11" s="31">
        <v>960080.0</v>
      </c>
      <c r="F11" s="32">
        <f t="shared" si="2"/>
        <v>0.0954808019</v>
      </c>
      <c r="G11" s="33">
        <f t="shared" si="3"/>
        <v>7337.704626</v>
      </c>
      <c r="H11" s="34">
        <f t="shared" ref="H11:I11" si="12">C11/B11</f>
        <v>1.644128114</v>
      </c>
      <c r="I11" s="33">
        <f t="shared" si="12"/>
        <v>4462.97619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0" t="s">
        <v>36</v>
      </c>
      <c r="B12" s="31">
        <v>220.0</v>
      </c>
      <c r="C12" s="31">
        <v>384.0</v>
      </c>
      <c r="D12" s="31">
        <v>1826220.0</v>
      </c>
      <c r="E12" s="31">
        <v>838310.0</v>
      </c>
      <c r="F12" s="32">
        <f t="shared" si="2"/>
        <v>0.07475365274</v>
      </c>
      <c r="G12" s="33">
        <f t="shared" si="3"/>
        <v>8301</v>
      </c>
      <c r="H12" s="34">
        <f t="shared" ref="H12:I12" si="13">C12/B12</f>
        <v>1.745454545</v>
      </c>
      <c r="I12" s="33">
        <f t="shared" si="13"/>
        <v>4755.78125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30" t="s">
        <v>37</v>
      </c>
      <c r="B13" s="31">
        <v>358.0</v>
      </c>
      <c r="C13" s="31">
        <v>722.0</v>
      </c>
      <c r="D13" s="31">
        <v>3652880.0</v>
      </c>
      <c r="E13" s="31">
        <v>1726835.0</v>
      </c>
      <c r="F13" s="32">
        <f t="shared" si="2"/>
        <v>0.1216445804</v>
      </c>
      <c r="G13" s="33">
        <f t="shared" si="3"/>
        <v>10203.57542</v>
      </c>
      <c r="H13" s="34">
        <f t="shared" ref="H13:I13" si="14">C13/B13</f>
        <v>2.016759777</v>
      </c>
      <c r="I13" s="33">
        <f t="shared" si="14"/>
        <v>5059.390582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30" t="s">
        <v>38</v>
      </c>
      <c r="B14" s="31">
        <v>244.0</v>
      </c>
      <c r="C14" s="31">
        <v>397.0</v>
      </c>
      <c r="D14" s="31">
        <v>1945185.0</v>
      </c>
      <c r="E14" s="31">
        <v>908215.0</v>
      </c>
      <c r="F14" s="32">
        <f t="shared" si="2"/>
        <v>0.08290859667</v>
      </c>
      <c r="G14" s="33">
        <f t="shared" si="3"/>
        <v>7972.069672</v>
      </c>
      <c r="H14" s="34">
        <f t="shared" ref="H14:I14" si="15">C14/B14</f>
        <v>1.62704918</v>
      </c>
      <c r="I14" s="33">
        <f t="shared" si="15"/>
        <v>4899.710327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0" t="s">
        <v>39</v>
      </c>
      <c r="B15" s="31">
        <v>236.0</v>
      </c>
      <c r="C15" s="31">
        <v>390.0</v>
      </c>
      <c r="D15" s="31">
        <v>1882925.0</v>
      </c>
      <c r="E15" s="31">
        <v>884840.0</v>
      </c>
      <c r="F15" s="32">
        <f t="shared" si="2"/>
        <v>0.08019028203</v>
      </c>
      <c r="G15" s="33">
        <f t="shared" si="3"/>
        <v>7978.495763</v>
      </c>
      <c r="H15" s="34">
        <f t="shared" ref="H15:I15" si="16">C15/B15</f>
        <v>1.652542373</v>
      </c>
      <c r="I15" s="33">
        <f t="shared" si="16"/>
        <v>4828.012821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30" t="s">
        <v>40</v>
      </c>
      <c r="B16" s="31">
        <v>201.0</v>
      </c>
      <c r="C16" s="31">
        <v>338.0</v>
      </c>
      <c r="D16" s="31">
        <v>1504580.0</v>
      </c>
      <c r="E16" s="31">
        <v>703560.0</v>
      </c>
      <c r="F16" s="32">
        <f t="shared" si="2"/>
        <v>0.06829765545</v>
      </c>
      <c r="G16" s="33">
        <f t="shared" si="3"/>
        <v>7485.472637</v>
      </c>
      <c r="H16" s="34">
        <f t="shared" ref="H16:I16" si="17">C16/B16</f>
        <v>1.68159204</v>
      </c>
      <c r="I16" s="33">
        <f t="shared" si="17"/>
        <v>4451.420118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30" t="s">
        <v>41</v>
      </c>
      <c r="B17" s="31">
        <v>353.0</v>
      </c>
      <c r="C17" s="31">
        <v>657.0</v>
      </c>
      <c r="D17" s="31">
        <v>3447070.0</v>
      </c>
      <c r="E17" s="31">
        <v>1627065.0</v>
      </c>
      <c r="F17" s="32">
        <f t="shared" si="2"/>
        <v>0.1199456337</v>
      </c>
      <c r="G17" s="33">
        <f t="shared" si="3"/>
        <v>9765.070822</v>
      </c>
      <c r="H17" s="34">
        <f t="shared" ref="H17:I17" si="18">C17/B17</f>
        <v>1.861189802</v>
      </c>
      <c r="I17" s="33">
        <f t="shared" si="18"/>
        <v>5246.681887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42</v>
      </c>
      <c r="B1" s="36"/>
      <c r="C1" s="36"/>
      <c r="D1" s="36"/>
      <c r="E1" s="36"/>
      <c r="F1" s="37"/>
      <c r="G1" s="36"/>
      <c r="H1" s="38"/>
      <c r="I1" s="36"/>
      <c r="J1" s="36"/>
      <c r="K1" s="36"/>
      <c r="L1" s="35" t="s">
        <v>43</v>
      </c>
      <c r="M1" s="36"/>
      <c r="N1" s="36"/>
      <c r="O1" s="36"/>
      <c r="P1" s="36"/>
      <c r="Q1" s="37"/>
      <c r="R1" s="36"/>
      <c r="S1" s="38"/>
      <c r="T1" s="36"/>
      <c r="U1" s="36"/>
      <c r="V1" s="35" t="s">
        <v>44</v>
      </c>
      <c r="W1" s="36"/>
      <c r="X1" s="36"/>
      <c r="Y1" s="36"/>
      <c r="Z1" s="36"/>
      <c r="AA1" s="37"/>
      <c r="AB1" s="39"/>
      <c r="AC1" s="38"/>
      <c r="AD1" s="39"/>
    </row>
    <row r="2">
      <c r="A2" s="40" t="s">
        <v>20</v>
      </c>
      <c r="B2" s="40" t="s">
        <v>1</v>
      </c>
      <c r="C2" s="40" t="s">
        <v>21</v>
      </c>
      <c r="D2" s="40" t="s">
        <v>45</v>
      </c>
      <c r="E2" s="40" t="s">
        <v>46</v>
      </c>
      <c r="F2" s="41" t="s">
        <v>47</v>
      </c>
      <c r="G2" s="42" t="s">
        <v>25</v>
      </c>
      <c r="H2" s="43" t="s">
        <v>11</v>
      </c>
      <c r="I2" s="42" t="s">
        <v>12</v>
      </c>
      <c r="J2" s="36"/>
      <c r="K2" s="36"/>
      <c r="L2" s="40" t="s">
        <v>20</v>
      </c>
      <c r="M2" s="40" t="s">
        <v>1</v>
      </c>
      <c r="N2" s="40" t="s">
        <v>21</v>
      </c>
      <c r="O2" s="40" t="s">
        <v>48</v>
      </c>
      <c r="P2" s="40" t="s">
        <v>49</v>
      </c>
      <c r="Q2" s="41" t="s">
        <v>47</v>
      </c>
      <c r="R2" s="42" t="s">
        <v>25</v>
      </c>
      <c r="S2" s="43" t="s">
        <v>11</v>
      </c>
      <c r="T2" s="42" t="s">
        <v>12</v>
      </c>
      <c r="U2" s="36"/>
      <c r="V2" s="40" t="s">
        <v>20</v>
      </c>
      <c r="W2" s="40" t="s">
        <v>1</v>
      </c>
      <c r="X2" s="40" t="s">
        <v>21</v>
      </c>
      <c r="Y2" s="40" t="s">
        <v>50</v>
      </c>
      <c r="Z2" s="40" t="s">
        <v>51</v>
      </c>
      <c r="AA2" s="41" t="s">
        <v>47</v>
      </c>
      <c r="AB2" s="44" t="s">
        <v>25</v>
      </c>
      <c r="AC2" s="43" t="s">
        <v>11</v>
      </c>
      <c r="AD2" s="44" t="s">
        <v>12</v>
      </c>
    </row>
    <row r="3">
      <c r="A3" s="45" t="s">
        <v>28</v>
      </c>
      <c r="B3" s="46">
        <v>2842.0</v>
      </c>
      <c r="C3" s="46">
        <v>3593.0</v>
      </c>
      <c r="D3" s="46">
        <v>1.8866045E7</v>
      </c>
      <c r="E3" s="46">
        <v>9389215.0</v>
      </c>
      <c r="F3" s="47">
        <f t="shared" ref="F3:F16" si="2">B3/$B$3</f>
        <v>1</v>
      </c>
      <c r="G3" s="48">
        <f t="shared" ref="G3:G16" si="3">D3/B3</f>
        <v>6638.298733</v>
      </c>
      <c r="H3" s="49">
        <f t="shared" ref="H3:I3" si="1">C3/B3</f>
        <v>1.264250528</v>
      </c>
      <c r="I3" s="48">
        <f t="shared" si="1"/>
        <v>5250.777901</v>
      </c>
      <c r="J3" s="36"/>
      <c r="K3" s="36"/>
      <c r="L3" s="50"/>
      <c r="M3" s="50"/>
      <c r="N3" s="50"/>
      <c r="O3" s="46">
        <v>0.0</v>
      </c>
      <c r="P3" s="46">
        <v>0.0</v>
      </c>
      <c r="Q3" s="51"/>
      <c r="R3" s="50"/>
      <c r="S3" s="52"/>
      <c r="T3" s="50"/>
      <c r="U3" s="36"/>
      <c r="V3" s="53"/>
      <c r="W3" s="50"/>
      <c r="X3" s="50"/>
      <c r="Y3" s="46">
        <v>0.0</v>
      </c>
      <c r="Z3" s="46">
        <v>0.0</v>
      </c>
      <c r="AA3" s="51"/>
      <c r="AB3" s="54"/>
      <c r="AC3" s="52"/>
      <c r="AD3" s="54"/>
    </row>
    <row r="4">
      <c r="A4" s="45" t="s">
        <v>29</v>
      </c>
      <c r="B4" s="46">
        <v>529.0</v>
      </c>
      <c r="C4" s="46">
        <v>818.0</v>
      </c>
      <c r="D4" s="46">
        <v>4377010.0</v>
      </c>
      <c r="E4" s="46">
        <v>2173325.0</v>
      </c>
      <c r="F4" s="47">
        <f t="shared" si="2"/>
        <v>0.1861365236</v>
      </c>
      <c r="G4" s="48">
        <f t="shared" si="3"/>
        <v>8274.120983</v>
      </c>
      <c r="H4" s="49">
        <f t="shared" ref="H4:I4" si="4">C4/B4</f>
        <v>1.5463138</v>
      </c>
      <c r="I4" s="48">
        <f t="shared" si="4"/>
        <v>5350.867971</v>
      </c>
      <c r="J4" s="36"/>
      <c r="K4" s="36"/>
      <c r="L4" s="46" t="s">
        <v>29</v>
      </c>
      <c r="M4" s="46">
        <v>6161.0</v>
      </c>
      <c r="N4" s="46">
        <v>7980.0</v>
      </c>
      <c r="O4" s="46">
        <v>5.0815985E7</v>
      </c>
      <c r="P4" s="46">
        <v>2.616405E7</v>
      </c>
      <c r="Q4" s="47">
        <f t="shared" ref="Q4:Q16" si="7">M4/$M$4</f>
        <v>1</v>
      </c>
      <c r="R4" s="48">
        <f t="shared" ref="R4:R16" si="8">O4/M4</f>
        <v>8248.009252</v>
      </c>
      <c r="S4" s="49">
        <f t="shared" ref="S4:T4" si="5">N4/M4</f>
        <v>1.295244279</v>
      </c>
      <c r="T4" s="48">
        <f t="shared" si="5"/>
        <v>6367.91792</v>
      </c>
      <c r="U4" s="36"/>
      <c r="V4" s="53"/>
      <c r="W4" s="50"/>
      <c r="X4" s="50"/>
      <c r="Y4" s="46">
        <v>0.0</v>
      </c>
      <c r="Z4" s="46">
        <v>0.0</v>
      </c>
      <c r="AA4" s="51"/>
      <c r="AB4" s="54"/>
      <c r="AC4" s="52"/>
      <c r="AD4" s="54"/>
    </row>
    <row r="5">
      <c r="A5" s="45" t="s">
        <v>30</v>
      </c>
      <c r="B5" s="46">
        <v>237.0</v>
      </c>
      <c r="C5" s="46">
        <v>325.0</v>
      </c>
      <c r="D5" s="46">
        <v>1908940.0</v>
      </c>
      <c r="E5" s="46">
        <v>942755.0</v>
      </c>
      <c r="F5" s="47">
        <f t="shared" si="2"/>
        <v>0.08339197748</v>
      </c>
      <c r="G5" s="48">
        <f t="shared" si="3"/>
        <v>8054.599156</v>
      </c>
      <c r="H5" s="49">
        <f t="shared" ref="H5:I5" si="6">C5/B5</f>
        <v>1.371308017</v>
      </c>
      <c r="I5" s="48">
        <f t="shared" si="6"/>
        <v>5873.661538</v>
      </c>
      <c r="J5" s="36"/>
      <c r="K5" s="36"/>
      <c r="L5" s="46" t="s">
        <v>30</v>
      </c>
      <c r="M5" s="46">
        <v>619.0</v>
      </c>
      <c r="N5" s="46">
        <v>939.0</v>
      </c>
      <c r="O5" s="46">
        <v>5396435.0</v>
      </c>
      <c r="P5" s="46">
        <v>2596110.0</v>
      </c>
      <c r="Q5" s="47">
        <f t="shared" si="7"/>
        <v>0.1004707028</v>
      </c>
      <c r="R5" s="48">
        <f t="shared" si="8"/>
        <v>8717.988691</v>
      </c>
      <c r="S5" s="49">
        <f t="shared" ref="S5:T5" si="9">N5/M5</f>
        <v>1.516962843</v>
      </c>
      <c r="T5" s="48">
        <f t="shared" si="9"/>
        <v>5747.00213</v>
      </c>
      <c r="U5" s="36"/>
      <c r="V5" s="53"/>
      <c r="W5" s="50"/>
      <c r="X5" s="50"/>
      <c r="Y5" s="46">
        <v>0.0</v>
      </c>
      <c r="Z5" s="46">
        <v>0.0</v>
      </c>
      <c r="AA5" s="51"/>
      <c r="AB5" s="54"/>
      <c r="AC5" s="52"/>
      <c r="AD5" s="54"/>
    </row>
    <row r="6">
      <c r="A6" s="45" t="s">
        <v>31</v>
      </c>
      <c r="B6" s="46">
        <v>318.0</v>
      </c>
      <c r="C6" s="46">
        <v>467.0</v>
      </c>
      <c r="D6" s="46">
        <v>2357300.0</v>
      </c>
      <c r="E6" s="46">
        <v>1154450.0</v>
      </c>
      <c r="F6" s="47">
        <f t="shared" si="2"/>
        <v>0.1118930331</v>
      </c>
      <c r="G6" s="48">
        <f t="shared" si="3"/>
        <v>7412.893082</v>
      </c>
      <c r="H6" s="49">
        <f t="shared" ref="H6:I6" si="10">C6/B6</f>
        <v>1.468553459</v>
      </c>
      <c r="I6" s="48">
        <f t="shared" si="10"/>
        <v>5047.751606</v>
      </c>
      <c r="J6" s="36"/>
      <c r="K6" s="36"/>
      <c r="L6" s="46" t="s">
        <v>31</v>
      </c>
      <c r="M6" s="46">
        <v>546.0</v>
      </c>
      <c r="N6" s="46">
        <v>855.0</v>
      </c>
      <c r="O6" s="46">
        <v>4014505.0</v>
      </c>
      <c r="P6" s="46">
        <v>1990010.0</v>
      </c>
      <c r="Q6" s="47">
        <f t="shared" si="7"/>
        <v>0.08862197695</v>
      </c>
      <c r="R6" s="48">
        <f t="shared" si="8"/>
        <v>7352.57326</v>
      </c>
      <c r="S6" s="49">
        <f t="shared" ref="S6:T6" si="11">N6/M6</f>
        <v>1.565934066</v>
      </c>
      <c r="T6" s="48">
        <f t="shared" si="11"/>
        <v>4695.327485</v>
      </c>
      <c r="U6" s="36"/>
      <c r="V6" s="53"/>
      <c r="W6" s="50"/>
      <c r="X6" s="50"/>
      <c r="Y6" s="46">
        <v>0.0</v>
      </c>
      <c r="Z6" s="46">
        <v>0.0</v>
      </c>
      <c r="AA6" s="51"/>
      <c r="AB6" s="54"/>
      <c r="AC6" s="52"/>
      <c r="AD6" s="54"/>
    </row>
    <row r="7">
      <c r="A7" s="45" t="s">
        <v>32</v>
      </c>
      <c r="B7" s="46">
        <v>317.0</v>
      </c>
      <c r="C7" s="46">
        <v>468.0</v>
      </c>
      <c r="D7" s="46">
        <v>2213530.0</v>
      </c>
      <c r="E7" s="46">
        <v>1063370.0</v>
      </c>
      <c r="F7" s="47">
        <f t="shared" si="2"/>
        <v>0.1115411682</v>
      </c>
      <c r="G7" s="48">
        <f t="shared" si="3"/>
        <v>6982.744479</v>
      </c>
      <c r="H7" s="49">
        <f t="shared" ref="H7:I7" si="12">C7/B7</f>
        <v>1.476340694</v>
      </c>
      <c r="I7" s="48">
        <f t="shared" si="12"/>
        <v>4729.764957</v>
      </c>
      <c r="J7" s="36"/>
      <c r="K7" s="36"/>
      <c r="L7" s="46" t="s">
        <v>32</v>
      </c>
      <c r="M7" s="46">
        <v>451.0</v>
      </c>
      <c r="N7" s="46">
        <v>696.0</v>
      </c>
      <c r="O7" s="46">
        <v>3515930.0</v>
      </c>
      <c r="P7" s="46">
        <v>1742015.0</v>
      </c>
      <c r="Q7" s="47">
        <f t="shared" si="7"/>
        <v>0.07320240221</v>
      </c>
      <c r="R7" s="48">
        <f t="shared" si="8"/>
        <v>7795.853659</v>
      </c>
      <c r="S7" s="49">
        <f t="shared" ref="S7:T7" si="13">N7/M7</f>
        <v>1.543237251</v>
      </c>
      <c r="T7" s="48">
        <f t="shared" si="13"/>
        <v>5051.623563</v>
      </c>
      <c r="U7" s="36"/>
      <c r="V7" s="53"/>
      <c r="W7" s="50"/>
      <c r="X7" s="50"/>
      <c r="Y7" s="46">
        <v>0.0</v>
      </c>
      <c r="Z7" s="46">
        <v>0.0</v>
      </c>
      <c r="AA7" s="51"/>
      <c r="AB7" s="54"/>
      <c r="AC7" s="52"/>
      <c r="AD7" s="54"/>
    </row>
    <row r="8">
      <c r="A8" s="45" t="s">
        <v>33</v>
      </c>
      <c r="B8" s="46">
        <v>366.0</v>
      </c>
      <c r="C8" s="46">
        <v>615.0</v>
      </c>
      <c r="D8" s="46">
        <v>3017685.0</v>
      </c>
      <c r="E8" s="46">
        <v>1435610.0</v>
      </c>
      <c r="F8" s="47">
        <f t="shared" si="2"/>
        <v>0.1287825475</v>
      </c>
      <c r="G8" s="48">
        <f t="shared" si="3"/>
        <v>8245.040984</v>
      </c>
      <c r="H8" s="49">
        <f t="shared" ref="H8:I8" si="14">C8/B8</f>
        <v>1.680327869</v>
      </c>
      <c r="I8" s="48">
        <f t="shared" si="14"/>
        <v>4906.804878</v>
      </c>
      <c r="J8" s="36"/>
      <c r="K8" s="36"/>
      <c r="L8" s="46" t="s">
        <v>33</v>
      </c>
      <c r="M8" s="46">
        <v>939.0</v>
      </c>
      <c r="N8" s="46">
        <v>1579.0</v>
      </c>
      <c r="O8" s="46">
        <v>8754185.0</v>
      </c>
      <c r="P8" s="46">
        <v>4264700.0</v>
      </c>
      <c r="Q8" s="47">
        <f t="shared" si="7"/>
        <v>0.152410323</v>
      </c>
      <c r="R8" s="48">
        <f t="shared" si="8"/>
        <v>9322.880724</v>
      </c>
      <c r="S8" s="49">
        <f t="shared" ref="S8:T8" si="15">N8/M8</f>
        <v>1.681576145</v>
      </c>
      <c r="T8" s="48">
        <f t="shared" si="15"/>
        <v>5544.132362</v>
      </c>
      <c r="U8" s="36"/>
      <c r="V8" s="45" t="s">
        <v>33</v>
      </c>
      <c r="W8" s="46">
        <v>5881.0</v>
      </c>
      <c r="X8" s="46">
        <v>7651.0</v>
      </c>
      <c r="Y8" s="46">
        <v>4.608989E7</v>
      </c>
      <c r="Z8" s="46">
        <v>2.257783E7</v>
      </c>
      <c r="AA8" s="55">
        <f t="shared" ref="AA8:AA16" si="19">X8/$X$8</f>
        <v>1</v>
      </c>
      <c r="AB8" s="56">
        <f t="shared" ref="AB8:AB16" si="20">Y8/W8</f>
        <v>7837.083829</v>
      </c>
      <c r="AC8" s="57">
        <f t="shared" ref="AC8:AD8" si="16">X8/W8</f>
        <v>1.300969223</v>
      </c>
      <c r="AD8" s="56">
        <f t="shared" si="16"/>
        <v>6024.034767</v>
      </c>
    </row>
    <row r="9">
      <c r="A9" s="45" t="s">
        <v>34</v>
      </c>
      <c r="B9" s="46">
        <v>234.0</v>
      </c>
      <c r="C9" s="46">
        <v>339.0</v>
      </c>
      <c r="D9" s="46">
        <v>1575365.0</v>
      </c>
      <c r="E9" s="46">
        <v>740795.0</v>
      </c>
      <c r="F9" s="47">
        <f t="shared" si="2"/>
        <v>0.08233638283</v>
      </c>
      <c r="G9" s="48">
        <f t="shared" si="3"/>
        <v>6732.32906</v>
      </c>
      <c r="H9" s="49">
        <f t="shared" ref="H9:I9" si="17">C9/B9</f>
        <v>1.448717949</v>
      </c>
      <c r="I9" s="48">
        <f t="shared" si="17"/>
        <v>4647.094395</v>
      </c>
      <c r="J9" s="36"/>
      <c r="K9" s="36"/>
      <c r="L9" s="46" t="s">
        <v>34</v>
      </c>
      <c r="M9" s="46">
        <v>418.0</v>
      </c>
      <c r="N9" s="46">
        <v>687.0</v>
      </c>
      <c r="O9" s="46">
        <v>3430020.0</v>
      </c>
      <c r="P9" s="46">
        <v>1596375.0</v>
      </c>
      <c r="Q9" s="47">
        <f t="shared" si="7"/>
        <v>0.06784612888</v>
      </c>
      <c r="R9" s="48">
        <f t="shared" si="8"/>
        <v>8205.789474</v>
      </c>
      <c r="S9" s="49">
        <f t="shared" ref="S9:T9" si="18">N9/M9</f>
        <v>1.64354067</v>
      </c>
      <c r="T9" s="48">
        <f t="shared" si="18"/>
        <v>4992.751092</v>
      </c>
      <c r="U9" s="36"/>
      <c r="V9" s="45" t="s">
        <v>34</v>
      </c>
      <c r="W9" s="46">
        <v>690.0</v>
      </c>
      <c r="X9" s="46">
        <v>1011.0</v>
      </c>
      <c r="Y9" s="46">
        <v>5531845.0</v>
      </c>
      <c r="Z9" s="46">
        <v>2540340.0</v>
      </c>
      <c r="AA9" s="55">
        <f t="shared" si="19"/>
        <v>0.1321395896</v>
      </c>
      <c r="AB9" s="56">
        <f t="shared" si="20"/>
        <v>8017.166667</v>
      </c>
      <c r="AC9" s="57">
        <f t="shared" ref="AC9:AD9" si="21">X9/W9</f>
        <v>1.465217391</v>
      </c>
      <c r="AD9" s="56">
        <f t="shared" si="21"/>
        <v>5471.656775</v>
      </c>
    </row>
    <row r="10">
      <c r="A10" s="45" t="s">
        <v>35</v>
      </c>
      <c r="B10" s="46">
        <v>254.0</v>
      </c>
      <c r="C10" s="46">
        <v>408.0</v>
      </c>
      <c r="D10" s="46">
        <v>1804770.0</v>
      </c>
      <c r="E10" s="46">
        <v>868560.0</v>
      </c>
      <c r="F10" s="47">
        <f t="shared" si="2"/>
        <v>0.08937368051</v>
      </c>
      <c r="G10" s="48">
        <f t="shared" si="3"/>
        <v>7105.393701</v>
      </c>
      <c r="H10" s="49">
        <f t="shared" ref="H10:I10" si="22">C10/B10</f>
        <v>1.606299213</v>
      </c>
      <c r="I10" s="48">
        <f t="shared" si="22"/>
        <v>4423.455882</v>
      </c>
      <c r="J10" s="36"/>
      <c r="K10" s="36"/>
      <c r="L10" s="46" t="s">
        <v>35</v>
      </c>
      <c r="M10" s="46">
        <v>442.0</v>
      </c>
      <c r="N10" s="46">
        <v>738.0</v>
      </c>
      <c r="O10" s="46">
        <v>3375460.0</v>
      </c>
      <c r="P10" s="46">
        <v>1614635.0</v>
      </c>
      <c r="Q10" s="47">
        <f t="shared" si="7"/>
        <v>0.07174160039</v>
      </c>
      <c r="R10" s="48">
        <f t="shared" si="8"/>
        <v>7636.78733</v>
      </c>
      <c r="S10" s="49">
        <f t="shared" ref="S10:T10" si="23">N10/M10</f>
        <v>1.669683258</v>
      </c>
      <c r="T10" s="48">
        <f t="shared" si="23"/>
        <v>4573.794038</v>
      </c>
      <c r="U10" s="36"/>
      <c r="V10" s="45" t="s">
        <v>35</v>
      </c>
      <c r="W10" s="46">
        <v>473.0</v>
      </c>
      <c r="X10" s="46">
        <v>675.0</v>
      </c>
      <c r="Y10" s="46">
        <v>3571370.0</v>
      </c>
      <c r="Z10" s="46">
        <v>1677170.0</v>
      </c>
      <c r="AA10" s="55">
        <f t="shared" si="19"/>
        <v>0.0882237616</v>
      </c>
      <c r="AB10" s="56">
        <f t="shared" si="20"/>
        <v>7550.465116</v>
      </c>
      <c r="AC10" s="57">
        <f t="shared" ref="AC10:AD10" si="24">X10/W10</f>
        <v>1.427061311</v>
      </c>
      <c r="AD10" s="56">
        <f t="shared" si="24"/>
        <v>5290.918519</v>
      </c>
    </row>
    <row r="11">
      <c r="A11" s="45" t="s">
        <v>36</v>
      </c>
      <c r="B11" s="46">
        <v>269.0</v>
      </c>
      <c r="C11" s="46">
        <v>385.0</v>
      </c>
      <c r="D11" s="46">
        <v>1582735.0</v>
      </c>
      <c r="E11" s="46">
        <v>742940.0</v>
      </c>
      <c r="F11" s="47">
        <f t="shared" si="2"/>
        <v>0.09465165376</v>
      </c>
      <c r="G11" s="48">
        <f t="shared" si="3"/>
        <v>5883.773234</v>
      </c>
      <c r="H11" s="49">
        <f t="shared" ref="H11:I11" si="25">C11/B11</f>
        <v>1.431226766</v>
      </c>
      <c r="I11" s="48">
        <f t="shared" si="25"/>
        <v>4111</v>
      </c>
      <c r="J11" s="36"/>
      <c r="K11" s="36"/>
      <c r="L11" s="46" t="s">
        <v>36</v>
      </c>
      <c r="M11" s="46">
        <v>430.0</v>
      </c>
      <c r="N11" s="46">
        <v>731.0</v>
      </c>
      <c r="O11" s="46">
        <v>3476385.0</v>
      </c>
      <c r="P11" s="46">
        <v>1640210.0</v>
      </c>
      <c r="Q11" s="47">
        <f t="shared" si="7"/>
        <v>0.06979386463</v>
      </c>
      <c r="R11" s="48">
        <f t="shared" si="8"/>
        <v>8084.616279</v>
      </c>
      <c r="S11" s="49">
        <f t="shared" ref="S11:T11" si="26">N11/M11</f>
        <v>1.7</v>
      </c>
      <c r="T11" s="48">
        <f t="shared" si="26"/>
        <v>4755.656635</v>
      </c>
      <c r="U11" s="36"/>
      <c r="V11" s="45" t="s">
        <v>36</v>
      </c>
      <c r="W11" s="46">
        <v>420.0</v>
      </c>
      <c r="X11" s="46">
        <v>601.0</v>
      </c>
      <c r="Y11" s="46">
        <v>2838000.0</v>
      </c>
      <c r="Z11" s="46">
        <v>1371040.0</v>
      </c>
      <c r="AA11" s="55">
        <f t="shared" si="19"/>
        <v>0.07855182329</v>
      </c>
      <c r="AB11" s="56">
        <f t="shared" si="20"/>
        <v>6757.142857</v>
      </c>
      <c r="AC11" s="57">
        <f t="shared" ref="AC11:AD11" si="27">X11/W11</f>
        <v>1.430952381</v>
      </c>
      <c r="AD11" s="56">
        <f t="shared" si="27"/>
        <v>4722.129784</v>
      </c>
    </row>
    <row r="12">
      <c r="A12" s="45" t="s">
        <v>37</v>
      </c>
      <c r="B12" s="46">
        <v>358.0</v>
      </c>
      <c r="C12" s="46">
        <v>625.0</v>
      </c>
      <c r="D12" s="46">
        <v>3222065.0</v>
      </c>
      <c r="E12" s="46">
        <v>1519155.0</v>
      </c>
      <c r="F12" s="47">
        <f t="shared" si="2"/>
        <v>0.1259676284</v>
      </c>
      <c r="G12" s="48">
        <f t="shared" si="3"/>
        <v>9000.181564</v>
      </c>
      <c r="H12" s="49">
        <f t="shared" ref="H12:I12" si="28">C12/B12</f>
        <v>1.745810056</v>
      </c>
      <c r="I12" s="48">
        <f t="shared" si="28"/>
        <v>5155.304</v>
      </c>
      <c r="J12" s="36"/>
      <c r="K12" s="36"/>
      <c r="L12" s="46" t="s">
        <v>37</v>
      </c>
      <c r="M12" s="46">
        <v>885.0</v>
      </c>
      <c r="N12" s="46">
        <v>1542.0</v>
      </c>
      <c r="O12" s="46">
        <v>8510590.0</v>
      </c>
      <c r="P12" s="46">
        <v>4095850.0</v>
      </c>
      <c r="Q12" s="47">
        <f t="shared" si="7"/>
        <v>0.1436455121</v>
      </c>
      <c r="R12" s="48">
        <f t="shared" si="8"/>
        <v>9616.485876</v>
      </c>
      <c r="S12" s="49">
        <f t="shared" ref="S12:T12" si="29">N12/M12</f>
        <v>1.742372881</v>
      </c>
      <c r="T12" s="48">
        <f t="shared" si="29"/>
        <v>5519.189364</v>
      </c>
      <c r="U12" s="36"/>
      <c r="V12" s="45" t="s">
        <v>37</v>
      </c>
      <c r="W12" s="46">
        <v>999.0</v>
      </c>
      <c r="X12" s="46">
        <v>1660.0</v>
      </c>
      <c r="Y12" s="46">
        <v>8927160.0</v>
      </c>
      <c r="Z12" s="46">
        <v>4306665.0</v>
      </c>
      <c r="AA12" s="55">
        <f t="shared" si="19"/>
        <v>0.2169651026</v>
      </c>
      <c r="AB12" s="56">
        <f t="shared" si="20"/>
        <v>8936.096096</v>
      </c>
      <c r="AC12" s="57">
        <f t="shared" ref="AC12:AD12" si="30">X12/W12</f>
        <v>1.661661662</v>
      </c>
      <c r="AD12" s="56">
        <f t="shared" si="30"/>
        <v>5377.807229</v>
      </c>
    </row>
    <row r="13">
      <c r="A13" s="45" t="s">
        <v>38</v>
      </c>
      <c r="B13" s="46">
        <v>220.0</v>
      </c>
      <c r="C13" s="46">
        <v>323.0</v>
      </c>
      <c r="D13" s="46">
        <v>1638945.0</v>
      </c>
      <c r="E13" s="46">
        <v>766755.0</v>
      </c>
      <c r="F13" s="47">
        <f t="shared" si="2"/>
        <v>0.07741027445</v>
      </c>
      <c r="G13" s="48">
        <f t="shared" si="3"/>
        <v>7449.75</v>
      </c>
      <c r="H13" s="49">
        <f t="shared" ref="H13:I13" si="31">C13/B13</f>
        <v>1.468181818</v>
      </c>
      <c r="I13" s="48">
        <f t="shared" si="31"/>
        <v>5074.133127</v>
      </c>
      <c r="J13" s="36"/>
      <c r="K13" s="36"/>
      <c r="L13" s="46" t="s">
        <v>38</v>
      </c>
      <c r="M13" s="46">
        <v>381.0</v>
      </c>
      <c r="N13" s="46">
        <v>625.0</v>
      </c>
      <c r="O13" s="46">
        <v>3439535.0</v>
      </c>
      <c r="P13" s="46">
        <v>1651705.0</v>
      </c>
      <c r="Q13" s="47">
        <f t="shared" si="7"/>
        <v>0.06184061029</v>
      </c>
      <c r="R13" s="48">
        <f t="shared" si="8"/>
        <v>9027.650919</v>
      </c>
      <c r="S13" s="49">
        <f t="shared" ref="S13:T13" si="32">N13/M13</f>
        <v>1.640419948</v>
      </c>
      <c r="T13" s="48">
        <f t="shared" si="32"/>
        <v>5503.256</v>
      </c>
      <c r="U13" s="36"/>
      <c r="V13" s="45" t="s">
        <v>38</v>
      </c>
      <c r="W13" s="46">
        <v>387.0</v>
      </c>
      <c r="X13" s="46">
        <v>562.0</v>
      </c>
      <c r="Y13" s="46">
        <v>3135275.0</v>
      </c>
      <c r="Z13" s="46">
        <v>1509805.0</v>
      </c>
      <c r="AA13" s="55">
        <f t="shared" si="19"/>
        <v>0.0734544504</v>
      </c>
      <c r="AB13" s="56">
        <f t="shared" si="20"/>
        <v>8101.485788</v>
      </c>
      <c r="AC13" s="57">
        <f t="shared" ref="AC13:AD13" si="33">X13/W13</f>
        <v>1.452196382</v>
      </c>
      <c r="AD13" s="56">
        <f t="shared" si="33"/>
        <v>5578.781139</v>
      </c>
    </row>
    <row r="14">
      <c r="A14" s="45" t="s">
        <v>39</v>
      </c>
      <c r="B14" s="46">
        <v>224.0</v>
      </c>
      <c r="C14" s="46">
        <v>338.0</v>
      </c>
      <c r="D14" s="46">
        <v>1742675.0</v>
      </c>
      <c r="E14" s="46">
        <v>828905.0</v>
      </c>
      <c r="F14" s="47">
        <f t="shared" si="2"/>
        <v>0.07881773399</v>
      </c>
      <c r="G14" s="48">
        <f t="shared" si="3"/>
        <v>7779.799107</v>
      </c>
      <c r="H14" s="49">
        <f t="shared" ref="H14:I14" si="34">C14/B14</f>
        <v>1.508928571</v>
      </c>
      <c r="I14" s="48">
        <f t="shared" si="34"/>
        <v>5155.843195</v>
      </c>
      <c r="J14" s="36"/>
      <c r="K14" s="36"/>
      <c r="L14" s="46" t="s">
        <v>39</v>
      </c>
      <c r="M14" s="46">
        <v>384.0</v>
      </c>
      <c r="N14" s="46">
        <v>654.0</v>
      </c>
      <c r="O14" s="46">
        <v>3467475.0</v>
      </c>
      <c r="P14" s="46">
        <v>1650495.0</v>
      </c>
      <c r="Q14" s="47">
        <f t="shared" si="7"/>
        <v>0.06232754423</v>
      </c>
      <c r="R14" s="48">
        <f t="shared" si="8"/>
        <v>9029.882813</v>
      </c>
      <c r="S14" s="49">
        <f t="shared" ref="S14:T14" si="35">N14/M14</f>
        <v>1.703125</v>
      </c>
      <c r="T14" s="48">
        <f t="shared" si="35"/>
        <v>5301.949541</v>
      </c>
      <c r="U14" s="36"/>
      <c r="V14" s="45" t="s">
        <v>39</v>
      </c>
      <c r="W14" s="46">
        <v>343.0</v>
      </c>
      <c r="X14" s="46">
        <v>522.0</v>
      </c>
      <c r="Y14" s="46">
        <v>2546775.0</v>
      </c>
      <c r="Z14" s="46">
        <v>1241075.0</v>
      </c>
      <c r="AA14" s="55">
        <f t="shared" si="19"/>
        <v>0.06822637564</v>
      </c>
      <c r="AB14" s="56">
        <f t="shared" si="20"/>
        <v>7425</v>
      </c>
      <c r="AC14" s="57">
        <f t="shared" ref="AC14:AD14" si="36">X14/W14</f>
        <v>1.521865889</v>
      </c>
      <c r="AD14" s="56">
        <f t="shared" si="36"/>
        <v>4878.87931</v>
      </c>
    </row>
    <row r="15">
      <c r="A15" s="45" t="s">
        <v>40</v>
      </c>
      <c r="B15" s="46">
        <v>230.0</v>
      </c>
      <c r="C15" s="46">
        <v>349.0</v>
      </c>
      <c r="D15" s="46">
        <v>1446720.0</v>
      </c>
      <c r="E15" s="46">
        <v>692780.0</v>
      </c>
      <c r="F15" s="47">
        <f t="shared" si="2"/>
        <v>0.08092892329</v>
      </c>
      <c r="G15" s="48">
        <f t="shared" si="3"/>
        <v>6290.086957</v>
      </c>
      <c r="H15" s="49">
        <f t="shared" ref="H15:I15" si="37">C15/B15</f>
        <v>1.517391304</v>
      </c>
      <c r="I15" s="48">
        <f t="shared" si="37"/>
        <v>4145.329513</v>
      </c>
      <c r="J15" s="36"/>
      <c r="K15" s="36"/>
      <c r="L15" s="46" t="s">
        <v>40</v>
      </c>
      <c r="M15" s="46">
        <v>351.0</v>
      </c>
      <c r="N15" s="46">
        <v>561.0</v>
      </c>
      <c r="O15" s="46">
        <v>2413840.0</v>
      </c>
      <c r="P15" s="46">
        <v>1158025.0</v>
      </c>
      <c r="Q15" s="47">
        <f t="shared" si="7"/>
        <v>0.0569712709</v>
      </c>
      <c r="R15" s="48">
        <f t="shared" si="8"/>
        <v>6877.037037</v>
      </c>
      <c r="S15" s="49">
        <f t="shared" ref="S15:T15" si="38">N15/M15</f>
        <v>1.598290598</v>
      </c>
      <c r="T15" s="48">
        <f t="shared" si="38"/>
        <v>4302.745098</v>
      </c>
      <c r="U15" s="36"/>
      <c r="V15" s="45" t="s">
        <v>40</v>
      </c>
      <c r="W15" s="46">
        <v>356.0</v>
      </c>
      <c r="X15" s="46">
        <v>518.0</v>
      </c>
      <c r="Y15" s="46">
        <v>2251975.0</v>
      </c>
      <c r="Z15" s="46">
        <v>1074480.0</v>
      </c>
      <c r="AA15" s="55">
        <f t="shared" si="19"/>
        <v>0.06770356816</v>
      </c>
      <c r="AB15" s="56">
        <f t="shared" si="20"/>
        <v>6325.772472</v>
      </c>
      <c r="AC15" s="57">
        <f t="shared" ref="AC15:AD15" si="39">X15/W15</f>
        <v>1.45505618</v>
      </c>
      <c r="AD15" s="56">
        <f t="shared" si="39"/>
        <v>4347.442085</v>
      </c>
    </row>
    <row r="16">
      <c r="A16" s="45" t="s">
        <v>41</v>
      </c>
      <c r="B16" s="46">
        <v>311.0</v>
      </c>
      <c r="C16" s="46">
        <v>523.0</v>
      </c>
      <c r="D16" s="46">
        <v>2693735.0</v>
      </c>
      <c r="E16" s="46">
        <v>1293325.0</v>
      </c>
      <c r="F16" s="47">
        <f t="shared" si="2"/>
        <v>0.1094299789</v>
      </c>
      <c r="G16" s="48">
        <f t="shared" si="3"/>
        <v>8661.527331</v>
      </c>
      <c r="H16" s="49">
        <f t="shared" ref="H16:I16" si="40">C16/B16</f>
        <v>1.681672026</v>
      </c>
      <c r="I16" s="48">
        <f t="shared" si="40"/>
        <v>5150.544933</v>
      </c>
      <c r="J16" s="36"/>
      <c r="K16" s="36"/>
      <c r="L16" s="46" t="s">
        <v>41</v>
      </c>
      <c r="M16" s="46">
        <v>743.0</v>
      </c>
      <c r="N16" s="46">
        <v>1364.0</v>
      </c>
      <c r="O16" s="46">
        <v>7542645.0</v>
      </c>
      <c r="P16" s="46">
        <v>3669875.0</v>
      </c>
      <c r="Q16" s="47">
        <f t="shared" si="7"/>
        <v>0.1205973056</v>
      </c>
      <c r="R16" s="48">
        <f t="shared" si="8"/>
        <v>10151.60834</v>
      </c>
      <c r="S16" s="49">
        <f t="shared" ref="S16:T16" si="41">N16/M16</f>
        <v>1.835800808</v>
      </c>
      <c r="T16" s="48">
        <f t="shared" si="41"/>
        <v>5529.798387</v>
      </c>
      <c r="U16" s="36"/>
      <c r="V16" s="45" t="s">
        <v>41</v>
      </c>
      <c r="W16" s="46">
        <v>778.0</v>
      </c>
      <c r="X16" s="46">
        <v>1300.0</v>
      </c>
      <c r="Y16" s="46">
        <v>7285410.0</v>
      </c>
      <c r="Z16" s="46">
        <v>3469510.0</v>
      </c>
      <c r="AA16" s="55">
        <f t="shared" si="19"/>
        <v>0.1699124297</v>
      </c>
      <c r="AB16" s="56">
        <f t="shared" si="20"/>
        <v>9364.280206</v>
      </c>
      <c r="AC16" s="57">
        <f t="shared" ref="AC16:AD16" si="42">X16/W16</f>
        <v>1.670951157</v>
      </c>
      <c r="AD16" s="56">
        <f t="shared" si="42"/>
        <v>5604.161538</v>
      </c>
    </row>
    <row r="17">
      <c r="A17" s="50"/>
      <c r="B17" s="50"/>
      <c r="C17" s="50"/>
      <c r="D17" s="48">
        <f t="shared" ref="D17:E17" si="43">STDEV(D2:D16)/AVERAGE(D2:D16)</f>
        <v>1.303056809</v>
      </c>
      <c r="E17" s="48">
        <f t="shared" si="43"/>
        <v>1.336591609</v>
      </c>
      <c r="F17" s="51"/>
      <c r="G17" s="50"/>
      <c r="H17" s="52"/>
      <c r="I17" s="50"/>
      <c r="J17" s="36"/>
      <c r="K17" s="36"/>
      <c r="L17" s="50"/>
      <c r="M17" s="50"/>
      <c r="N17" s="48">
        <f t="shared" ref="N17:P17" si="44">STDEV(N4:N12)/AVERAGE(N4:N12)</f>
        <v>1.350201095</v>
      </c>
      <c r="O17" s="48">
        <f t="shared" si="44"/>
        <v>1.518614684</v>
      </c>
      <c r="P17" s="48">
        <f t="shared" si="44"/>
        <v>1.570744487</v>
      </c>
      <c r="Q17" s="51"/>
      <c r="R17" s="50"/>
      <c r="S17" s="52"/>
      <c r="T17" s="50"/>
      <c r="U17" s="36"/>
      <c r="V17" s="50"/>
      <c r="W17" s="50"/>
      <c r="X17" s="48">
        <f t="shared" ref="X17:Z17" si="45">STDEV(X2:X16)/AVERAGE(X2:X16)</f>
        <v>1.427550599</v>
      </c>
      <c r="Y17" s="48">
        <f t="shared" si="45"/>
        <v>2.030915916</v>
      </c>
      <c r="Z17" s="48">
        <f t="shared" si="45"/>
        <v>2.056224047</v>
      </c>
      <c r="AA17" s="51"/>
      <c r="AB17" s="54"/>
      <c r="AC17" s="52"/>
      <c r="AD17" s="54"/>
    </row>
    <row r="20">
      <c r="A20" s="40" t="s">
        <v>20</v>
      </c>
      <c r="B20" s="58" t="s">
        <v>42</v>
      </c>
      <c r="C20" s="59" t="s">
        <v>43</v>
      </c>
      <c r="D20" s="60" t="s">
        <v>44</v>
      </c>
      <c r="E20" s="59" t="s">
        <v>42</v>
      </c>
      <c r="F20" s="45" t="s">
        <v>43</v>
      </c>
      <c r="G20" s="59" t="s">
        <v>44</v>
      </c>
      <c r="H20" s="59" t="s">
        <v>42</v>
      </c>
      <c r="I20" s="59" t="s">
        <v>43</v>
      </c>
      <c r="J20" s="59" t="s">
        <v>44</v>
      </c>
      <c r="K20" s="59" t="s">
        <v>42</v>
      </c>
      <c r="L20" s="59" t="s">
        <v>43</v>
      </c>
      <c r="M20" s="59" t="s">
        <v>44</v>
      </c>
    </row>
    <row r="21">
      <c r="A21" s="45" t="s">
        <v>28</v>
      </c>
      <c r="B21" s="47">
        <f t="shared" ref="B21:B34" si="46">VLOOKUP(A21,A1:I17, 6,0)</f>
        <v>1</v>
      </c>
      <c r="C21" s="51" t="str">
        <f t="shared" ref="C21:C34" si="47">IFNA(VLOOKUP(A21,L2:T16, 6,0), "")</f>
        <v/>
      </c>
      <c r="D21" s="51" t="str">
        <f t="shared" ref="D21:D34" si="48">IFNA(VLOOKUP(A21,V1:AD17,6,0),"")</f>
        <v/>
      </c>
      <c r="E21" s="48">
        <f t="shared" ref="E21:E34" si="49">IFNA(VLOOKUP(A21,A2:I17,7,0),"")</f>
        <v>6638.298733</v>
      </c>
      <c r="F21" s="50" t="str">
        <f t="shared" ref="F21:F34" si="50">IFNA(VLOOKUP(A21,L2:T17,7,0),"")</f>
        <v/>
      </c>
      <c r="G21" s="50" t="str">
        <f t="shared" ref="G21:G34" si="51">IFNA(VLOOKUP(A21,V2:AD19,7,0),"")</f>
        <v/>
      </c>
      <c r="H21" s="49">
        <f t="shared" ref="H21:H34" si="52">IFNA(VLOOKUP(A21, A2:I16,8,0),"")</f>
        <v>1.264250528</v>
      </c>
      <c r="I21" s="52" t="str">
        <f t="shared" ref="I21:I34" si="53">IFNA(VLOOKUP(A21,L2:T17,8,0), "")</f>
        <v/>
      </c>
      <c r="J21" s="52" t="str">
        <f t="shared" ref="J21:J34" si="54">IFNA(VLOOKUP(A21,V2:AD16,8,0), "")</f>
        <v/>
      </c>
      <c r="K21" s="48">
        <f t="shared" ref="K21:K34" si="55">IFNA(VLOOKUP(A21, A2:I16,9,0),"")</f>
        <v>5250.777901</v>
      </c>
      <c r="L21" s="50" t="str">
        <f t="shared" ref="L21:L34" si="56">IFNA(VLOOKUP(A21,L2:T17,9,0),"")</f>
        <v/>
      </c>
      <c r="M21" s="50" t="str">
        <f t="shared" ref="M21:M34" si="57">IFNA(VLOOKUP(A21,V2:AD16,9,0),"")</f>
        <v/>
      </c>
    </row>
    <row r="22">
      <c r="A22" s="45" t="s">
        <v>29</v>
      </c>
      <c r="B22" s="47">
        <f t="shared" si="46"/>
        <v>0.1861365236</v>
      </c>
      <c r="C22" s="47">
        <f t="shared" si="47"/>
        <v>1</v>
      </c>
      <c r="D22" s="51" t="str">
        <f t="shared" si="48"/>
        <v/>
      </c>
      <c r="E22" s="48">
        <f t="shared" si="49"/>
        <v>8274.120983</v>
      </c>
      <c r="F22" s="48">
        <f t="shared" si="50"/>
        <v>8248.009252</v>
      </c>
      <c r="G22" s="50" t="str">
        <f t="shared" si="51"/>
        <v/>
      </c>
      <c r="H22" s="49">
        <f t="shared" si="52"/>
        <v>1.5463138</v>
      </c>
      <c r="I22" s="49">
        <f t="shared" si="53"/>
        <v>1.295244279</v>
      </c>
      <c r="J22" s="52" t="str">
        <f t="shared" si="54"/>
        <v/>
      </c>
      <c r="K22" s="48">
        <f t="shared" si="55"/>
        <v>5350.867971</v>
      </c>
      <c r="L22" s="48">
        <f t="shared" si="56"/>
        <v>6367.91792</v>
      </c>
      <c r="M22" s="50" t="str">
        <f t="shared" si="57"/>
        <v/>
      </c>
    </row>
    <row r="23">
      <c r="A23" s="45" t="s">
        <v>30</v>
      </c>
      <c r="B23" s="47">
        <f t="shared" si="46"/>
        <v>0.08339197748</v>
      </c>
      <c r="C23" s="47">
        <f t="shared" si="47"/>
        <v>0.1004707028</v>
      </c>
      <c r="D23" s="51" t="str">
        <f t="shared" si="48"/>
        <v/>
      </c>
      <c r="E23" s="48">
        <f t="shared" si="49"/>
        <v>8054.599156</v>
      </c>
      <c r="F23" s="48">
        <f t="shared" si="50"/>
        <v>8717.988691</v>
      </c>
      <c r="G23" s="50" t="str">
        <f t="shared" si="51"/>
        <v/>
      </c>
      <c r="H23" s="49">
        <f t="shared" si="52"/>
        <v>1.371308017</v>
      </c>
      <c r="I23" s="49">
        <f t="shared" si="53"/>
        <v>1.516962843</v>
      </c>
      <c r="J23" s="52" t="str">
        <f t="shared" si="54"/>
        <v/>
      </c>
      <c r="K23" s="48">
        <f t="shared" si="55"/>
        <v>5873.661538</v>
      </c>
      <c r="L23" s="48">
        <f t="shared" si="56"/>
        <v>5747.00213</v>
      </c>
      <c r="M23" s="50" t="str">
        <f t="shared" si="57"/>
        <v/>
      </c>
    </row>
    <row r="24">
      <c r="A24" s="45" t="s">
        <v>31</v>
      </c>
      <c r="B24" s="47">
        <f t="shared" si="46"/>
        <v>0.1118930331</v>
      </c>
      <c r="C24" s="47">
        <f t="shared" si="47"/>
        <v>0.08862197695</v>
      </c>
      <c r="D24" s="51" t="str">
        <f t="shared" si="48"/>
        <v/>
      </c>
      <c r="E24" s="48">
        <f t="shared" si="49"/>
        <v>7412.893082</v>
      </c>
      <c r="F24" s="48">
        <f t="shared" si="50"/>
        <v>7352.57326</v>
      </c>
      <c r="G24" s="50" t="str">
        <f t="shared" si="51"/>
        <v/>
      </c>
      <c r="H24" s="49">
        <f t="shared" si="52"/>
        <v>1.468553459</v>
      </c>
      <c r="I24" s="49">
        <f t="shared" si="53"/>
        <v>1.565934066</v>
      </c>
      <c r="J24" s="52" t="str">
        <f t="shared" si="54"/>
        <v/>
      </c>
      <c r="K24" s="48">
        <f t="shared" si="55"/>
        <v>5047.751606</v>
      </c>
      <c r="L24" s="48">
        <f t="shared" si="56"/>
        <v>4695.327485</v>
      </c>
      <c r="M24" s="50" t="str">
        <f t="shared" si="57"/>
        <v/>
      </c>
    </row>
    <row r="25">
      <c r="A25" s="45" t="s">
        <v>32</v>
      </c>
      <c r="B25" s="47">
        <f t="shared" si="46"/>
        <v>0.1115411682</v>
      </c>
      <c r="C25" s="47">
        <f t="shared" si="47"/>
        <v>0.07320240221</v>
      </c>
      <c r="D25" s="51" t="str">
        <f t="shared" si="48"/>
        <v/>
      </c>
      <c r="E25" s="48">
        <f t="shared" si="49"/>
        <v>6982.744479</v>
      </c>
      <c r="F25" s="48">
        <f t="shared" si="50"/>
        <v>7795.853659</v>
      </c>
      <c r="G25" s="50" t="str">
        <f t="shared" si="51"/>
        <v/>
      </c>
      <c r="H25" s="49">
        <f t="shared" si="52"/>
        <v>1.476340694</v>
      </c>
      <c r="I25" s="49">
        <f t="shared" si="53"/>
        <v>1.543237251</v>
      </c>
      <c r="J25" s="52" t="str">
        <f t="shared" si="54"/>
        <v/>
      </c>
      <c r="K25" s="48">
        <f t="shared" si="55"/>
        <v>4729.764957</v>
      </c>
      <c r="L25" s="48">
        <f t="shared" si="56"/>
        <v>5051.623563</v>
      </c>
      <c r="M25" s="50" t="str">
        <f t="shared" si="57"/>
        <v/>
      </c>
    </row>
    <row r="26">
      <c r="A26" s="45" t="s">
        <v>33</v>
      </c>
      <c r="B26" s="47">
        <f t="shared" si="46"/>
        <v>0.1287825475</v>
      </c>
      <c r="C26" s="47">
        <f t="shared" si="47"/>
        <v>0.152410323</v>
      </c>
      <c r="D26" s="47">
        <f t="shared" si="48"/>
        <v>1</v>
      </c>
      <c r="E26" s="48">
        <f t="shared" si="49"/>
        <v>8245.040984</v>
      </c>
      <c r="F26" s="48">
        <f t="shared" si="50"/>
        <v>9322.880724</v>
      </c>
      <c r="G26" s="48">
        <f t="shared" si="51"/>
        <v>7837.083829</v>
      </c>
      <c r="H26" s="49">
        <f t="shared" si="52"/>
        <v>1.680327869</v>
      </c>
      <c r="I26" s="49">
        <f t="shared" si="53"/>
        <v>1.681576145</v>
      </c>
      <c r="J26" s="49">
        <f t="shared" si="54"/>
        <v>1.300969223</v>
      </c>
      <c r="K26" s="48">
        <f t="shared" si="55"/>
        <v>4906.804878</v>
      </c>
      <c r="L26" s="48">
        <f t="shared" si="56"/>
        <v>5544.132362</v>
      </c>
      <c r="M26" s="48">
        <f t="shared" si="57"/>
        <v>6024.034767</v>
      </c>
    </row>
    <row r="27">
      <c r="A27" s="45" t="s">
        <v>34</v>
      </c>
      <c r="B27" s="47">
        <f t="shared" si="46"/>
        <v>0.08233638283</v>
      </c>
      <c r="C27" s="47">
        <f t="shared" si="47"/>
        <v>0.06784612888</v>
      </c>
      <c r="D27" s="47">
        <f t="shared" si="48"/>
        <v>0.1321395896</v>
      </c>
      <c r="E27" s="48">
        <f t="shared" si="49"/>
        <v>6732.32906</v>
      </c>
      <c r="F27" s="48">
        <f t="shared" si="50"/>
        <v>8205.789474</v>
      </c>
      <c r="G27" s="48">
        <f t="shared" si="51"/>
        <v>8017.166667</v>
      </c>
      <c r="H27" s="49">
        <f t="shared" si="52"/>
        <v>1.448717949</v>
      </c>
      <c r="I27" s="49">
        <f t="shared" si="53"/>
        <v>1.64354067</v>
      </c>
      <c r="J27" s="49">
        <f t="shared" si="54"/>
        <v>1.465217391</v>
      </c>
      <c r="K27" s="48">
        <f t="shared" si="55"/>
        <v>4647.094395</v>
      </c>
      <c r="L27" s="48">
        <f t="shared" si="56"/>
        <v>4992.751092</v>
      </c>
      <c r="M27" s="48">
        <f t="shared" si="57"/>
        <v>5471.656775</v>
      </c>
    </row>
    <row r="28">
      <c r="A28" s="45" t="s">
        <v>35</v>
      </c>
      <c r="B28" s="47">
        <f t="shared" si="46"/>
        <v>0.08937368051</v>
      </c>
      <c r="C28" s="47">
        <f t="shared" si="47"/>
        <v>0.07174160039</v>
      </c>
      <c r="D28" s="47">
        <f t="shared" si="48"/>
        <v>0.0882237616</v>
      </c>
      <c r="E28" s="48">
        <f t="shared" si="49"/>
        <v>7105.393701</v>
      </c>
      <c r="F28" s="48">
        <f t="shared" si="50"/>
        <v>7636.78733</v>
      </c>
      <c r="G28" s="48">
        <f t="shared" si="51"/>
        <v>7550.465116</v>
      </c>
      <c r="H28" s="49">
        <f t="shared" si="52"/>
        <v>1.606299213</v>
      </c>
      <c r="I28" s="49">
        <f t="shared" si="53"/>
        <v>1.669683258</v>
      </c>
      <c r="J28" s="49">
        <f t="shared" si="54"/>
        <v>1.427061311</v>
      </c>
      <c r="K28" s="48">
        <f t="shared" si="55"/>
        <v>4423.455882</v>
      </c>
      <c r="L28" s="48">
        <f t="shared" si="56"/>
        <v>4573.794038</v>
      </c>
      <c r="M28" s="48">
        <f t="shared" si="57"/>
        <v>5290.918519</v>
      </c>
    </row>
    <row r="29">
      <c r="A29" s="45" t="s">
        <v>36</v>
      </c>
      <c r="B29" s="47">
        <f t="shared" si="46"/>
        <v>0.09465165376</v>
      </c>
      <c r="C29" s="47">
        <f t="shared" si="47"/>
        <v>0.06979386463</v>
      </c>
      <c r="D29" s="47">
        <f t="shared" si="48"/>
        <v>0.07855182329</v>
      </c>
      <c r="E29" s="48">
        <f t="shared" si="49"/>
        <v>5883.773234</v>
      </c>
      <c r="F29" s="48">
        <f t="shared" si="50"/>
        <v>8084.616279</v>
      </c>
      <c r="G29" s="48">
        <f t="shared" si="51"/>
        <v>6757.142857</v>
      </c>
      <c r="H29" s="49">
        <f t="shared" si="52"/>
        <v>1.431226766</v>
      </c>
      <c r="I29" s="49">
        <f t="shared" si="53"/>
        <v>1.7</v>
      </c>
      <c r="J29" s="49">
        <f t="shared" si="54"/>
        <v>1.430952381</v>
      </c>
      <c r="K29" s="48">
        <f t="shared" si="55"/>
        <v>4111</v>
      </c>
      <c r="L29" s="48">
        <f t="shared" si="56"/>
        <v>4755.656635</v>
      </c>
      <c r="M29" s="48">
        <f t="shared" si="57"/>
        <v>4722.129784</v>
      </c>
    </row>
    <row r="30">
      <c r="A30" s="45" t="s">
        <v>37</v>
      </c>
      <c r="B30" s="47">
        <f t="shared" si="46"/>
        <v>0.1259676284</v>
      </c>
      <c r="C30" s="47">
        <f t="shared" si="47"/>
        <v>0.1436455121</v>
      </c>
      <c r="D30" s="47">
        <f t="shared" si="48"/>
        <v>0.2169651026</v>
      </c>
      <c r="E30" s="48">
        <f t="shared" si="49"/>
        <v>9000.181564</v>
      </c>
      <c r="F30" s="48">
        <f t="shared" si="50"/>
        <v>9616.485876</v>
      </c>
      <c r="G30" s="48">
        <f t="shared" si="51"/>
        <v>8936.096096</v>
      </c>
      <c r="H30" s="49">
        <f t="shared" si="52"/>
        <v>1.745810056</v>
      </c>
      <c r="I30" s="49">
        <f t="shared" si="53"/>
        <v>1.742372881</v>
      </c>
      <c r="J30" s="49">
        <f t="shared" si="54"/>
        <v>1.661661662</v>
      </c>
      <c r="K30" s="48">
        <f t="shared" si="55"/>
        <v>5155.304</v>
      </c>
      <c r="L30" s="48">
        <f t="shared" si="56"/>
        <v>5519.189364</v>
      </c>
      <c r="M30" s="48">
        <f t="shared" si="57"/>
        <v>5377.807229</v>
      </c>
    </row>
    <row r="31">
      <c r="A31" s="45" t="s">
        <v>38</v>
      </c>
      <c r="B31" s="47">
        <f t="shared" si="46"/>
        <v>0.07741027445</v>
      </c>
      <c r="C31" s="47">
        <f t="shared" si="47"/>
        <v>0.06184061029</v>
      </c>
      <c r="D31" s="47">
        <f t="shared" si="48"/>
        <v>0.0734544504</v>
      </c>
      <c r="E31" s="48">
        <f t="shared" si="49"/>
        <v>7449.75</v>
      </c>
      <c r="F31" s="48">
        <f t="shared" si="50"/>
        <v>9027.650919</v>
      </c>
      <c r="G31" s="48">
        <f t="shared" si="51"/>
        <v>8101.485788</v>
      </c>
      <c r="H31" s="49">
        <f t="shared" si="52"/>
        <v>1.468181818</v>
      </c>
      <c r="I31" s="49">
        <f t="shared" si="53"/>
        <v>1.640419948</v>
      </c>
      <c r="J31" s="49">
        <f t="shared" si="54"/>
        <v>1.452196382</v>
      </c>
      <c r="K31" s="48">
        <f t="shared" si="55"/>
        <v>5074.133127</v>
      </c>
      <c r="L31" s="48">
        <f t="shared" si="56"/>
        <v>5503.256</v>
      </c>
      <c r="M31" s="48">
        <f t="shared" si="57"/>
        <v>5578.781139</v>
      </c>
    </row>
    <row r="32">
      <c r="A32" s="45" t="s">
        <v>39</v>
      </c>
      <c r="B32" s="47">
        <f t="shared" si="46"/>
        <v>0.07881773399</v>
      </c>
      <c r="C32" s="47">
        <f t="shared" si="47"/>
        <v>0.06232754423</v>
      </c>
      <c r="D32" s="47">
        <f t="shared" si="48"/>
        <v>0.06822637564</v>
      </c>
      <c r="E32" s="48">
        <f t="shared" si="49"/>
        <v>7779.799107</v>
      </c>
      <c r="F32" s="48">
        <f t="shared" si="50"/>
        <v>9029.882813</v>
      </c>
      <c r="G32" s="48">
        <f t="shared" si="51"/>
        <v>7425</v>
      </c>
      <c r="H32" s="49">
        <f t="shared" si="52"/>
        <v>1.508928571</v>
      </c>
      <c r="I32" s="49">
        <f t="shared" si="53"/>
        <v>1.703125</v>
      </c>
      <c r="J32" s="49">
        <f t="shared" si="54"/>
        <v>1.521865889</v>
      </c>
      <c r="K32" s="48">
        <f t="shared" si="55"/>
        <v>5155.843195</v>
      </c>
      <c r="L32" s="48">
        <f t="shared" si="56"/>
        <v>5301.949541</v>
      </c>
      <c r="M32" s="48">
        <f t="shared" si="57"/>
        <v>4878.87931</v>
      </c>
    </row>
    <row r="33">
      <c r="A33" s="45" t="s">
        <v>40</v>
      </c>
      <c r="B33" s="47">
        <f t="shared" si="46"/>
        <v>0.08092892329</v>
      </c>
      <c r="C33" s="47">
        <f t="shared" si="47"/>
        <v>0.0569712709</v>
      </c>
      <c r="D33" s="47">
        <f t="shared" si="48"/>
        <v>0.06770356816</v>
      </c>
      <c r="E33" s="48">
        <f t="shared" si="49"/>
        <v>6290.086957</v>
      </c>
      <c r="F33" s="48">
        <f t="shared" si="50"/>
        <v>6877.037037</v>
      </c>
      <c r="G33" s="48">
        <f t="shared" si="51"/>
        <v>6325.772472</v>
      </c>
      <c r="H33" s="49">
        <f t="shared" si="52"/>
        <v>1.517391304</v>
      </c>
      <c r="I33" s="49">
        <f t="shared" si="53"/>
        <v>1.598290598</v>
      </c>
      <c r="J33" s="49">
        <f t="shared" si="54"/>
        <v>1.45505618</v>
      </c>
      <c r="K33" s="48">
        <f t="shared" si="55"/>
        <v>4145.329513</v>
      </c>
      <c r="L33" s="48">
        <f t="shared" si="56"/>
        <v>4302.745098</v>
      </c>
      <c r="M33" s="48">
        <f t="shared" si="57"/>
        <v>4347.442085</v>
      </c>
    </row>
    <row r="34">
      <c r="A34" s="45" t="s">
        <v>41</v>
      </c>
      <c r="B34" s="47">
        <f t="shared" si="46"/>
        <v>0.1094299789</v>
      </c>
      <c r="C34" s="47">
        <f t="shared" si="47"/>
        <v>0.1205973056</v>
      </c>
      <c r="D34" s="47">
        <f t="shared" si="48"/>
        <v>0.1699124297</v>
      </c>
      <c r="E34" s="48">
        <f t="shared" si="49"/>
        <v>8661.527331</v>
      </c>
      <c r="F34" s="48">
        <f t="shared" si="50"/>
        <v>10151.60834</v>
      </c>
      <c r="G34" s="48">
        <f t="shared" si="51"/>
        <v>9364.280206</v>
      </c>
      <c r="H34" s="49">
        <f t="shared" si="52"/>
        <v>1.681672026</v>
      </c>
      <c r="I34" s="49">
        <f t="shared" si="53"/>
        <v>1.835800808</v>
      </c>
      <c r="J34" s="49">
        <f t="shared" si="54"/>
        <v>1.670951157</v>
      </c>
      <c r="K34" s="48">
        <f t="shared" si="55"/>
        <v>5150.544933</v>
      </c>
      <c r="L34" s="48">
        <f t="shared" si="56"/>
        <v>5529.798387</v>
      </c>
      <c r="M34" s="48">
        <f t="shared" si="57"/>
        <v>5604.161538</v>
      </c>
    </row>
    <row r="47">
      <c r="A47" s="61" t="s">
        <v>52</v>
      </c>
      <c r="G47" s="62" t="s">
        <v>53</v>
      </c>
      <c r="H47" s="63"/>
      <c r="I47" s="63"/>
      <c r="J47" s="63"/>
    </row>
    <row r="61">
      <c r="A61" s="64" t="s">
        <v>54</v>
      </c>
      <c r="B61" s="65"/>
      <c r="C61" s="65"/>
      <c r="D61" s="65"/>
    </row>
  </sheetData>
  <mergeCells count="1">
    <mergeCell ref="A47:F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22</v>
      </c>
      <c r="B1" s="67"/>
      <c r="C1" s="67"/>
      <c r="D1" s="67"/>
      <c r="E1" s="67"/>
      <c r="K1" s="68" t="s">
        <v>0</v>
      </c>
      <c r="L1" s="68" t="s">
        <v>1</v>
      </c>
      <c r="M1" s="68" t="s">
        <v>2</v>
      </c>
      <c r="N1" s="68" t="s">
        <v>3</v>
      </c>
      <c r="O1" s="68" t="s">
        <v>4</v>
      </c>
      <c r="P1" s="69" t="s">
        <v>5</v>
      </c>
      <c r="Q1" s="70" t="s">
        <v>9</v>
      </c>
    </row>
    <row r="2">
      <c r="A2" s="71"/>
      <c r="B2" s="72">
        <v>2021.0</v>
      </c>
      <c r="C2" s="72">
        <v>2022.0</v>
      </c>
      <c r="D2" s="72">
        <v>2023.0</v>
      </c>
      <c r="E2" s="72">
        <v>2024.0</v>
      </c>
      <c r="K2" s="73">
        <v>1.0</v>
      </c>
      <c r="L2" s="10">
        <v>3180.0</v>
      </c>
      <c r="M2" s="11">
        <v>17503.0</v>
      </c>
      <c r="N2" s="11">
        <v>1.28952505E8</v>
      </c>
      <c r="O2" s="11">
        <v>6.2160175E7</v>
      </c>
      <c r="P2" s="12">
        <v>0.10000943485234456</v>
      </c>
      <c r="Q2" s="14">
        <v>40551.10220125786</v>
      </c>
    </row>
    <row r="3">
      <c r="A3" s="72" t="s">
        <v>55</v>
      </c>
      <c r="B3" s="46">
        <v>7.5539904E7</v>
      </c>
      <c r="C3" s="46">
        <v>6.171330550000001E7</v>
      </c>
      <c r="D3" s="46">
        <v>5.75353625E7</v>
      </c>
      <c r="E3" s="46">
        <v>5.54779225E7</v>
      </c>
      <c r="K3" s="73">
        <v>2.0</v>
      </c>
      <c r="L3" s="10">
        <v>3180.0</v>
      </c>
      <c r="M3" s="11">
        <v>8703.0</v>
      </c>
      <c r="N3" s="11">
        <v>5.5542905E7</v>
      </c>
      <c r="O3" s="11">
        <v>2.707903E7</v>
      </c>
      <c r="P3" s="12">
        <v>0.10000943485234456</v>
      </c>
      <c r="Q3" s="14">
        <v>17466.322327044025</v>
      </c>
    </row>
    <row r="4">
      <c r="A4" s="72">
        <v>2021.0</v>
      </c>
      <c r="B4" s="46">
        <v>1.3186955649999999E8</v>
      </c>
      <c r="C4" s="46">
        <v>5.2597105E7</v>
      </c>
      <c r="D4" s="46">
        <v>4.5025838E7</v>
      </c>
      <c r="E4" s="46">
        <v>4.1006845E7</v>
      </c>
      <c r="K4" s="73">
        <v>3.0</v>
      </c>
      <c r="L4" s="10">
        <v>3177.0</v>
      </c>
      <c r="M4" s="11">
        <v>6345.0</v>
      </c>
      <c r="N4" s="11">
        <v>3.8274225E7</v>
      </c>
      <c r="O4" s="11">
        <v>1.8722055E7</v>
      </c>
      <c r="P4" s="12">
        <v>0.09991508632889895</v>
      </c>
      <c r="Q4" s="14">
        <v>12047.285174693106</v>
      </c>
    </row>
    <row r="5">
      <c r="A5" s="72">
        <v>2022.0</v>
      </c>
      <c r="B5" s="46">
        <v>0.0</v>
      </c>
      <c r="C5" s="46">
        <v>1.061519525E8</v>
      </c>
      <c r="D5" s="46">
        <v>4.0414088E7</v>
      </c>
      <c r="E5" s="46">
        <v>3.1974173E7</v>
      </c>
      <c r="K5" s="73">
        <v>4.0</v>
      </c>
      <c r="L5" s="10">
        <v>3178.0</v>
      </c>
      <c r="M5" s="11">
        <v>5349.0</v>
      </c>
      <c r="N5" s="11">
        <v>2.901701E7</v>
      </c>
      <c r="O5" s="11">
        <v>1.3916595E7</v>
      </c>
      <c r="P5" s="12">
        <v>0.09994653583671416</v>
      </c>
      <c r="Q5" s="14">
        <v>9130.588420390182</v>
      </c>
    </row>
    <row r="6">
      <c r="A6" s="72">
        <v>2023.0</v>
      </c>
      <c r="B6" s="46">
        <v>0.0</v>
      </c>
      <c r="C6" s="46">
        <v>0.0</v>
      </c>
      <c r="D6" s="46">
        <v>1.2317463399999999E8</v>
      </c>
      <c r="E6" s="46">
        <v>4.4414436E7</v>
      </c>
      <c r="K6" s="73">
        <v>5.0</v>
      </c>
      <c r="L6" s="10">
        <v>3183.0</v>
      </c>
      <c r="M6" s="11">
        <v>4683.0</v>
      </c>
      <c r="N6" s="11">
        <v>2.2555225E7</v>
      </c>
      <c r="O6" s="11">
        <v>1.0734405E7</v>
      </c>
      <c r="P6" s="12">
        <v>0.10010378337579016</v>
      </c>
      <c r="Q6" s="14">
        <v>7086.153000314169</v>
      </c>
    </row>
    <row r="7">
      <c r="A7" s="72">
        <v>2024.0</v>
      </c>
      <c r="B7" s="46">
        <v>0.0</v>
      </c>
      <c r="C7" s="46">
        <v>0.0</v>
      </c>
      <c r="D7" s="46">
        <v>0.0</v>
      </c>
      <c r="E7" s="46">
        <v>1.527273275E8</v>
      </c>
      <c r="K7" s="73">
        <v>6.0</v>
      </c>
      <c r="L7" s="10">
        <v>3124.0</v>
      </c>
      <c r="M7" s="11">
        <v>4330.0</v>
      </c>
      <c r="N7" s="11">
        <v>1.7169955E7</v>
      </c>
      <c r="O7" s="11">
        <v>7948270.0</v>
      </c>
      <c r="P7" s="12">
        <v>0.09824826241469321</v>
      </c>
      <c r="Q7" s="14">
        <v>5496.144366197183</v>
      </c>
    </row>
    <row r="8">
      <c r="A8" s="71"/>
      <c r="B8" s="71"/>
      <c r="C8" s="71"/>
      <c r="D8" s="71"/>
      <c r="E8" s="71"/>
      <c r="K8" s="73">
        <v>7.0</v>
      </c>
      <c r="L8" s="10">
        <v>3233.0</v>
      </c>
      <c r="M8" s="11">
        <v>4004.0</v>
      </c>
      <c r="N8" s="11">
        <v>1.347071E7</v>
      </c>
      <c r="O8" s="11">
        <v>6240025.0</v>
      </c>
      <c r="P8" s="12">
        <v>0.1016762587665503</v>
      </c>
      <c r="Q8" s="14">
        <v>4166.628518403959</v>
      </c>
    </row>
    <row r="9">
      <c r="A9" s="74" t="s">
        <v>23</v>
      </c>
      <c r="B9" s="75"/>
      <c r="C9" s="75"/>
      <c r="D9" s="75"/>
      <c r="E9" s="76"/>
      <c r="K9" s="73">
        <v>8.0</v>
      </c>
      <c r="L9" s="10">
        <v>2996.0</v>
      </c>
      <c r="M9" s="11">
        <v>3414.0</v>
      </c>
      <c r="N9" s="11">
        <v>9381075.0</v>
      </c>
      <c r="O9" s="11">
        <v>4326685.0</v>
      </c>
      <c r="P9" s="12">
        <v>0.09422272541434727</v>
      </c>
      <c r="Q9" s="14">
        <v>3131.1999332443256</v>
      </c>
    </row>
    <row r="10">
      <c r="A10" s="71"/>
      <c r="B10" s="72">
        <v>2021.0</v>
      </c>
      <c r="C10" s="72">
        <v>2022.0</v>
      </c>
      <c r="D10" s="72">
        <v>2023.0</v>
      </c>
      <c r="E10" s="72">
        <v>2024.0</v>
      </c>
      <c r="K10" s="73">
        <v>9.0</v>
      </c>
      <c r="L10" s="10">
        <v>3360.0</v>
      </c>
      <c r="M10" s="11">
        <v>3659.0</v>
      </c>
      <c r="N10" s="11">
        <v>7496500.0</v>
      </c>
      <c r="O10" s="11">
        <v>3334100.0</v>
      </c>
      <c r="P10" s="12">
        <v>0.10567034625908105</v>
      </c>
      <c r="Q10" s="14">
        <v>2231.1011904761904</v>
      </c>
    </row>
    <row r="11">
      <c r="A11" s="72" t="s">
        <v>55</v>
      </c>
      <c r="B11" s="46">
        <v>3.74877415E7</v>
      </c>
      <c r="C11" s="46">
        <v>3.0335338E7</v>
      </c>
      <c r="D11" s="46">
        <v>2.74854745E7</v>
      </c>
      <c r="E11" s="46">
        <v>2.6831497E7</v>
      </c>
      <c r="K11" s="73">
        <v>10.0</v>
      </c>
      <c r="L11" s="10">
        <v>3186.0</v>
      </c>
      <c r="M11" s="11">
        <v>3270.0</v>
      </c>
      <c r="N11" s="11">
        <v>3740550.0</v>
      </c>
      <c r="O11" s="11">
        <v>1554795.0</v>
      </c>
      <c r="P11" s="12">
        <v>0.10019813189923578</v>
      </c>
      <c r="Q11" s="14">
        <v>1174.0583804143125</v>
      </c>
    </row>
    <row r="12">
      <c r="A12" s="72">
        <v>2021.0</v>
      </c>
      <c r="B12" s="46">
        <v>6.6061534E7</v>
      </c>
      <c r="C12" s="46">
        <v>2.5603149E7</v>
      </c>
      <c r="D12" s="46">
        <v>2.12661185E7</v>
      </c>
      <c r="E12" s="46">
        <v>1.9554051E7</v>
      </c>
      <c r="K12" s="14" t="s">
        <v>14</v>
      </c>
      <c r="L12" s="10">
        <v>31797.0</v>
      </c>
      <c r="M12" s="11">
        <v>61260.0</v>
      </c>
      <c r="N12" s="11">
        <v>3.2560066E8</v>
      </c>
      <c r="O12" s="11">
        <v>1.56016135E8</v>
      </c>
      <c r="P12" s="13">
        <v>1.0</v>
      </c>
      <c r="Q12" s="14">
        <v>10239.980501305154</v>
      </c>
    </row>
    <row r="13">
      <c r="A13" s="72">
        <v>2022.0</v>
      </c>
      <c r="B13" s="46">
        <v>0.0</v>
      </c>
      <c r="C13" s="46">
        <v>5.19678335E7</v>
      </c>
      <c r="D13" s="46">
        <v>1.9015788E7</v>
      </c>
      <c r="E13" s="46">
        <v>1.52587985E7</v>
      </c>
    </row>
    <row r="14">
      <c r="A14" s="72">
        <v>2023.0</v>
      </c>
      <c r="B14" s="46">
        <v>0.0</v>
      </c>
      <c r="C14" s="46">
        <v>0.0</v>
      </c>
      <c r="D14" s="46">
        <v>5.9071749E7</v>
      </c>
      <c r="E14" s="46">
        <v>2.09702955E7</v>
      </c>
    </row>
    <row r="15">
      <c r="A15" s="72">
        <v>2024.0</v>
      </c>
      <c r="B15" s="46">
        <v>0.0</v>
      </c>
      <c r="C15" s="46">
        <v>0.0</v>
      </c>
      <c r="D15" s="46">
        <v>0.0</v>
      </c>
      <c r="E15" s="46">
        <v>7.3401526E7</v>
      </c>
    </row>
    <row r="16">
      <c r="A16" s="77"/>
      <c r="B16" s="71"/>
      <c r="C16" s="71"/>
      <c r="D16" s="71"/>
      <c r="E16" s="71"/>
    </row>
    <row r="17">
      <c r="A17" s="74" t="s">
        <v>1</v>
      </c>
      <c r="B17" s="75"/>
      <c r="C17" s="75"/>
      <c r="D17" s="75"/>
      <c r="E17" s="76"/>
    </row>
    <row r="18">
      <c r="A18" s="71"/>
      <c r="B18" s="72">
        <v>2021.0</v>
      </c>
      <c r="C18" s="72">
        <v>2022.0</v>
      </c>
      <c r="D18" s="72">
        <v>2023.0</v>
      </c>
      <c r="E18" s="72">
        <v>2024.0</v>
      </c>
    </row>
    <row r="19">
      <c r="A19" s="72" t="s">
        <v>55</v>
      </c>
      <c r="B19" s="46">
        <v>5751.0</v>
      </c>
      <c r="C19" s="46">
        <v>4636.0</v>
      </c>
      <c r="D19" s="46">
        <v>4233.0</v>
      </c>
      <c r="E19" s="46">
        <v>3921.0</v>
      </c>
    </row>
    <row r="20">
      <c r="A20" s="72">
        <v>2021.0</v>
      </c>
      <c r="B20" s="46">
        <v>14915.0</v>
      </c>
      <c r="C20" s="46">
        <v>4107.0</v>
      </c>
      <c r="D20" s="46">
        <v>3491.0</v>
      </c>
      <c r="E20" s="46">
        <v>3075.0</v>
      </c>
    </row>
    <row r="21">
      <c r="A21" s="72">
        <v>2022.0</v>
      </c>
      <c r="B21" s="50"/>
      <c r="C21" s="46">
        <v>12720.0</v>
      </c>
      <c r="D21" s="46">
        <v>3389.0</v>
      </c>
      <c r="E21" s="46">
        <v>2686.0</v>
      </c>
    </row>
    <row r="22">
      <c r="A22" s="72">
        <v>2023.0</v>
      </c>
      <c r="B22" s="50"/>
      <c r="C22" s="50"/>
      <c r="D22" s="46">
        <v>15166.0</v>
      </c>
      <c r="E22" s="46">
        <v>3799.0</v>
      </c>
    </row>
    <row r="23">
      <c r="A23" s="72">
        <v>2024.0</v>
      </c>
      <c r="B23" s="50"/>
      <c r="C23" s="50"/>
      <c r="D23" s="50"/>
      <c r="E23" s="46">
        <v>18316.0</v>
      </c>
    </row>
    <row r="24">
      <c r="A24" s="71"/>
      <c r="B24" s="71"/>
      <c r="C24" s="71"/>
      <c r="D24" s="71"/>
      <c r="E24" s="71"/>
    </row>
    <row r="25">
      <c r="A25" s="74" t="s">
        <v>21</v>
      </c>
      <c r="B25" s="75"/>
      <c r="C25" s="75"/>
      <c r="D25" s="75"/>
      <c r="E25" s="76"/>
    </row>
    <row r="26">
      <c r="A26" s="71"/>
      <c r="B26" s="72">
        <v>2021.0</v>
      </c>
      <c r="C26" s="72">
        <v>2022.0</v>
      </c>
      <c r="D26" s="72">
        <v>2023.0</v>
      </c>
      <c r="E26" s="72">
        <v>2024.0</v>
      </c>
    </row>
    <row r="27">
      <c r="A27" s="72" t="s">
        <v>55</v>
      </c>
      <c r="B27" s="46">
        <v>13739.0</v>
      </c>
      <c r="C27" s="46">
        <v>11475.0</v>
      </c>
      <c r="D27" s="46">
        <v>11331.0</v>
      </c>
      <c r="E27" s="46">
        <v>10581.0</v>
      </c>
    </row>
    <row r="28">
      <c r="A28" s="72">
        <v>2021.0</v>
      </c>
      <c r="B28" s="46">
        <v>22911.0</v>
      </c>
      <c r="C28" s="46">
        <v>10035.0</v>
      </c>
      <c r="D28" s="46">
        <v>9346.0</v>
      </c>
      <c r="E28" s="46">
        <v>8197.0</v>
      </c>
    </row>
    <row r="29">
      <c r="A29" s="72">
        <v>2022.0</v>
      </c>
      <c r="B29" s="50"/>
      <c r="C29" s="46">
        <v>18640.0</v>
      </c>
      <c r="D29" s="46">
        <v>7992.0</v>
      </c>
      <c r="E29" s="46">
        <v>6336.0</v>
      </c>
    </row>
    <row r="30">
      <c r="A30" s="72">
        <v>2023.0</v>
      </c>
      <c r="B30" s="50"/>
      <c r="C30" s="50"/>
      <c r="D30" s="46">
        <v>22735.0</v>
      </c>
      <c r="E30" s="46">
        <v>9002.0</v>
      </c>
    </row>
    <row r="31">
      <c r="A31" s="72">
        <v>2024.0</v>
      </c>
      <c r="B31" s="50"/>
      <c r="C31" s="50"/>
      <c r="D31" s="50"/>
      <c r="E31" s="46">
        <v>27144.0</v>
      </c>
    </row>
    <row r="32">
      <c r="A32" s="78"/>
      <c r="B32" s="78"/>
      <c r="C32" s="78"/>
      <c r="D32" s="78"/>
      <c r="E32" s="78"/>
    </row>
  </sheetData>
  <mergeCells count="3">
    <mergeCell ref="A9:E9"/>
    <mergeCell ref="A17:E17"/>
    <mergeCell ref="A25:E25"/>
  </mergeCells>
  <drawing r:id="rId1"/>
</worksheet>
</file>